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aint Summary" sheetId="1" r:id="rId5"/>
    <sheet state="visible" name="Complaints Register" sheetId="2" r:id="rId6"/>
  </sheets>
  <definedNames/>
  <calcPr/>
</workbook>
</file>

<file path=xl/sharedStrings.xml><?xml version="1.0" encoding="utf-8"?>
<sst xmlns="http://schemas.openxmlformats.org/spreadsheetml/2006/main" count="218" uniqueCount="95">
  <si>
    <t>Complaint Metrics</t>
  </si>
  <si>
    <t>Open Complaints</t>
  </si>
  <si>
    <t>In Progress</t>
  </si>
  <si>
    <t>Waiting for Customer</t>
  </si>
  <si>
    <t>Resolved</t>
  </si>
  <si>
    <t>Closed</t>
  </si>
  <si>
    <t>Total Complaints</t>
  </si>
  <si>
    <t>Complaint ID</t>
  </si>
  <si>
    <t>Date Reported</t>
  </si>
  <si>
    <t>Customer Name</t>
  </si>
  <si>
    <t>Customer ID / Account</t>
  </si>
  <si>
    <t>Phone Number</t>
  </si>
  <si>
    <t>JBL Reported By</t>
  </si>
  <si>
    <t>Branch / Region</t>
  </si>
  <si>
    <t>Complaint Category</t>
  </si>
  <si>
    <t>Complaint Description</t>
  </si>
  <si>
    <t>LOAN STATUS</t>
  </si>
  <si>
    <t>LOAN AT RISK</t>
  </si>
  <si>
    <t>Status</t>
  </si>
  <si>
    <t>Resolution Details</t>
  </si>
  <si>
    <t>Date Resolved</t>
  </si>
  <si>
    <t>Days Open</t>
  </si>
  <si>
    <t>RISK LEVEL</t>
  </si>
  <si>
    <t xml:space="preserve">GITONGA, JULIUS MAINA  </t>
  </si>
  <si>
    <t>JACKSON NJOROGE</t>
  </si>
  <si>
    <t>NYERI</t>
  </si>
  <si>
    <t>System Damage(Tear/Burst)</t>
  </si>
  <si>
    <t>bag worn out</t>
  </si>
  <si>
    <t>Cleared</t>
  </si>
  <si>
    <t>Repair was done</t>
  </si>
  <si>
    <t xml:space="preserve">KARIUKI, SAMUEL KAMAU </t>
  </si>
  <si>
    <t>MURANGA</t>
  </si>
  <si>
    <t>System Underperformance</t>
  </si>
  <si>
    <t>system under performing</t>
  </si>
  <si>
    <t>Non Performing</t>
  </si>
  <si>
    <t>Open</t>
  </si>
  <si>
    <t xml:space="preserve">KABUBI, MARGARET WANJIKU  </t>
  </si>
  <si>
    <t>NYANDARUA</t>
  </si>
  <si>
    <t xml:space="preserve">MWANGI, MERCY WANJIRU  </t>
  </si>
  <si>
    <t xml:space="preserve">MWANGI , PETER MUYAIRA </t>
  </si>
  <si>
    <t xml:space="preserve">RUTERE, IBRAHIM KIMATHI </t>
  </si>
  <si>
    <t>Customer had said he lacked water for reinstallation</t>
  </si>
  <si>
    <t>JAMES GATURA KIMANI</t>
  </si>
  <si>
    <t>system under performing since installation</t>
  </si>
  <si>
    <t>KINUTHIA, ROSE WANJIKU</t>
  </si>
  <si>
    <t>JOHN MUIRURI</t>
  </si>
  <si>
    <t>Collapsed system</t>
  </si>
  <si>
    <t>MARTHA MUGURE</t>
  </si>
  <si>
    <t>DAVID NDWIGA</t>
  </si>
  <si>
    <t>ALEX KAIRU</t>
  </si>
  <si>
    <t>EMBU</t>
  </si>
  <si>
    <t>NICASIO NJUE</t>
  </si>
  <si>
    <t>less cooking hours</t>
  </si>
  <si>
    <t xml:space="preserve">SERAPHINA WANGUI </t>
  </si>
  <si>
    <t>Pipe Damage/Disconnection</t>
  </si>
  <si>
    <t>cracked pipes</t>
  </si>
  <si>
    <t xml:space="preserve">JOSPHAT NDWIGA </t>
  </si>
  <si>
    <t xml:space="preserve">ROSE RUGURU </t>
  </si>
  <si>
    <t>MOSES MURIITHI</t>
  </si>
  <si>
    <t>broken outlet</t>
  </si>
  <si>
    <t>JOSEPH MUTIGI</t>
  </si>
  <si>
    <t>254722481657</t>
  </si>
  <si>
    <t>MORRIS NJIRU MRITHAA</t>
  </si>
  <si>
    <t>DICKSON MWANGI</t>
  </si>
  <si>
    <t>THARAKA NITHI</t>
  </si>
  <si>
    <t>Gas leakage at kichen</t>
  </si>
  <si>
    <t>DUNCAN KENNETH MICHENI</t>
  </si>
  <si>
    <t>ERASTUS IRUNGU</t>
  </si>
  <si>
    <t>Diconnected Oulet</t>
  </si>
  <si>
    <t>Disconnected Oulet leading to slurry leakage</t>
  </si>
  <si>
    <t xml:space="preserve"> MICHAEL NJUE GACHUGO</t>
  </si>
  <si>
    <t>SIMON KANYI</t>
  </si>
  <si>
    <t>Creacked Pipes</t>
  </si>
  <si>
    <t>JOSEPH MUTIE NZIOKA</t>
  </si>
  <si>
    <t>KIRINYAGA</t>
  </si>
  <si>
    <t>Cracked pipe,Blocked inlet</t>
  </si>
  <si>
    <t>ISAIAH KITHINJI SAMUEL</t>
  </si>
  <si>
    <t>MERU</t>
  </si>
  <si>
    <t>system has less gas production despite being  advised what to do.</t>
  </si>
  <si>
    <t xml:space="preserve"> JOSEPHAT BUNDI M'MARETE</t>
  </si>
  <si>
    <t xml:space="preserve">FAITH KAARI DAVID </t>
  </si>
  <si>
    <t>Tear on the system leading to leakage</t>
  </si>
  <si>
    <t>LEONARD NTURIBI</t>
  </si>
  <si>
    <t>Gas Leakage</t>
  </si>
  <si>
    <t xml:space="preserve"> reports system has not been working properly and suspects a leakage in the house</t>
  </si>
  <si>
    <t>Performing</t>
  </si>
  <si>
    <t>SALOME KINYA</t>
  </si>
  <si>
    <t>MERCY RIARA</t>
  </si>
  <si>
    <t xml:space="preserve"> Performing</t>
  </si>
  <si>
    <t>JULIA KIORO</t>
  </si>
  <si>
    <t>Disconnection at the point piping connects to the unit leading yo gas leakage</t>
  </si>
  <si>
    <t>GRACE KAIMURI KATHUNI</t>
  </si>
  <si>
    <t>System is underperforming despite following instrustions</t>
  </si>
  <si>
    <t>ALBERT, JULIUS KIRIMI</t>
  </si>
  <si>
    <t xml:space="preserve"> Complains system cant sustain cooking tea  despite following the procedures given to maintain the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</si>
</sst>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top style="thin">
        <color rgb="FF000000"/>
      </top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0" fillId="0" fontId="3" numFmtId="14" xfId="0" applyFont="1" applyNumberFormat="1"/>
    <xf borderId="0" fillId="0" fontId="3" numFmtId="1" xfId="0" applyFont="1" applyNumberFormat="1"/>
    <xf borderId="0" fillId="0" fontId="3" numFmtId="164" xfId="0" applyFont="1" applyNumberFormat="1"/>
    <xf borderId="0" fillId="0" fontId="3" numFmtId="1" xfId="0" applyAlignment="1" applyFont="1" applyNumberFormat="1">
      <alignment horizontal="right"/>
    </xf>
    <xf borderId="2" fillId="2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0.0"/>
    <col customWidth="1" min="3" max="26" width="8.71"/>
  </cols>
  <sheetData>
    <row r="1">
      <c r="A1" s="1" t="s">
        <v>0</v>
      </c>
    </row>
    <row r="4">
      <c r="A4" s="2" t="s">
        <v>1</v>
      </c>
      <c r="B4" s="2">
        <f>COUNTIF('Complaints Register'!L:L,"Open")</f>
        <v>5</v>
      </c>
    </row>
    <row r="5">
      <c r="A5" s="2" t="s">
        <v>2</v>
      </c>
      <c r="B5" s="2">
        <f>COUNTIF('Complaints Register'!L:L,"In Progress")</f>
        <v>0</v>
      </c>
    </row>
    <row r="6">
      <c r="A6" s="2" t="s">
        <v>3</v>
      </c>
      <c r="B6" s="2">
        <f>COUNTIF('Complaints Register'!L:L,"Waiting for Customer")</f>
        <v>1</v>
      </c>
    </row>
    <row r="7">
      <c r="A7" s="2" t="s">
        <v>4</v>
      </c>
      <c r="B7" s="2">
        <f>COUNTIF('Complaints Register'!L:L,"Resolved")</f>
        <v>0</v>
      </c>
    </row>
    <row r="8">
      <c r="A8" s="2" t="s">
        <v>5</v>
      </c>
      <c r="B8" s="2">
        <f>COUNTIF('Complaints Register'!L:L,"Closed")</f>
        <v>17</v>
      </c>
    </row>
    <row r="9">
      <c r="A9" s="3" t="s">
        <v>6</v>
      </c>
      <c r="B9" s="3">
        <f>SUM(B4:B8)</f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28.14"/>
    <col customWidth="1" min="4" max="4" width="20.0"/>
    <col customWidth="1" min="5" max="6" width="26.86"/>
    <col customWidth="1" min="7" max="7" width="20.0"/>
    <col customWidth="1" min="8" max="8" width="26.57"/>
    <col customWidth="1" min="9" max="9" width="36.86"/>
    <col customWidth="1" min="10" max="11" width="15.29"/>
    <col customWidth="1" min="12" max="15" width="20.0"/>
    <col customWidth="1" min="16" max="16" width="15.57"/>
    <col customWidth="1" min="17" max="26" width="8.7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>
      <c r="A2" s="2" t="str">
        <f t="shared" ref="A2:A198" si="1">IF(B2="","","CMP"&amp;TEXT(ROW()-1,"000"))</f>
        <v>CMP001</v>
      </c>
      <c r="B2" s="4">
        <v>46325.0</v>
      </c>
      <c r="C2" s="2" t="s">
        <v>23</v>
      </c>
      <c r="E2" s="5">
        <v>2.54713710943E11</v>
      </c>
      <c r="F2" s="5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6">
        <v>0.0</v>
      </c>
      <c r="L2" s="2" t="s">
        <v>5</v>
      </c>
      <c r="M2" s="2" t="s">
        <v>29</v>
      </c>
      <c r="O2" s="2" t="str">
        <f t="shared" ref="O2:O198" si="2">IF(L2="Closed","",IF(B2="","",TODAY()-B2))</f>
        <v/>
      </c>
      <c r="P2" s="2" t="str">
        <f t="array" ref="P2">IF(L2&lt;&gt;"Open","",IFS(TODAY()-B2&lt;=30,"Low",TODAY()-B2&lt;=60,"Moderate",TODAY()-B2&gt;60,"High"))</f>
        <v/>
      </c>
    </row>
    <row r="3">
      <c r="A3" s="2" t="str">
        <f t="shared" si="1"/>
        <v>CMP002</v>
      </c>
      <c r="B3" s="4">
        <v>46038.0</v>
      </c>
      <c r="C3" s="2" t="s">
        <v>30</v>
      </c>
      <c r="D3" s="2">
        <v>2.1414399E7</v>
      </c>
      <c r="E3" s="5">
        <v>2.54711552039E11</v>
      </c>
      <c r="F3" s="5" t="s">
        <v>24</v>
      </c>
      <c r="G3" s="2" t="s">
        <v>31</v>
      </c>
      <c r="H3" s="2" t="s">
        <v>32</v>
      </c>
      <c r="I3" s="2" t="s">
        <v>33</v>
      </c>
      <c r="J3" s="2" t="s">
        <v>34</v>
      </c>
      <c r="K3" s="6">
        <v>28098.0</v>
      </c>
      <c r="L3" s="2" t="s">
        <v>35</v>
      </c>
      <c r="O3" s="2">
        <f t="shared" si="2"/>
        <v>89</v>
      </c>
      <c r="P3" s="2" t="str">
        <f t="array" ref="P3">IF(L3&lt;&gt;"Open","",IFS(TODAY()-B3&lt;=30,"Low",TODAY()-B3&lt;=60,"Moderate",TODAY()-B3&gt;60,"High"))</f>
        <v>High</v>
      </c>
    </row>
    <row r="4">
      <c r="A4" s="2" t="str">
        <f t="shared" si="1"/>
        <v>CMP003</v>
      </c>
      <c r="B4" s="4">
        <v>45944.0</v>
      </c>
      <c r="C4" s="2" t="s">
        <v>36</v>
      </c>
      <c r="D4" s="2">
        <v>2.4465776E7</v>
      </c>
      <c r="E4" s="5">
        <v>2.54710739E11</v>
      </c>
      <c r="F4" s="5" t="s">
        <v>24</v>
      </c>
      <c r="G4" s="2" t="s">
        <v>37</v>
      </c>
      <c r="H4" s="2" t="s">
        <v>32</v>
      </c>
      <c r="I4" s="2" t="s">
        <v>33</v>
      </c>
      <c r="J4" s="2" t="s">
        <v>34</v>
      </c>
      <c r="K4" s="6">
        <v>55443.0</v>
      </c>
      <c r="L4" s="2" t="s">
        <v>35</v>
      </c>
      <c r="O4" s="2">
        <f t="shared" si="2"/>
        <v>183</v>
      </c>
      <c r="P4" s="2" t="str">
        <f t="array" ref="P4">IF(L4&lt;&gt;"Open","",IFS(TODAY()-B4&lt;=30,"Low",TODAY()-B4&lt;=60,"Moderate",TODAY()-B4&gt;60,"High"))</f>
        <v>High</v>
      </c>
    </row>
    <row r="5">
      <c r="A5" s="2" t="str">
        <f t="shared" si="1"/>
        <v>CMP004</v>
      </c>
      <c r="B5" s="4">
        <v>45989.0</v>
      </c>
      <c r="C5" s="2" t="s">
        <v>38</v>
      </c>
      <c r="D5" s="2">
        <v>2.3694742E7</v>
      </c>
      <c r="E5" s="5">
        <v>2.54727468904E11</v>
      </c>
      <c r="F5" s="5" t="s">
        <v>24</v>
      </c>
      <c r="G5" s="2" t="s">
        <v>25</v>
      </c>
      <c r="H5" s="2" t="s">
        <v>32</v>
      </c>
      <c r="I5" s="2" t="s">
        <v>33</v>
      </c>
      <c r="J5" s="2" t="s">
        <v>34</v>
      </c>
      <c r="K5" s="6">
        <v>44098.0</v>
      </c>
      <c r="L5" s="2" t="s">
        <v>35</v>
      </c>
      <c r="O5" s="2">
        <f t="shared" si="2"/>
        <v>138</v>
      </c>
      <c r="P5" s="2" t="str">
        <f t="array" ref="P5">IF(L5&lt;&gt;"Open","",IFS(TODAY()-B5&lt;=30,"Low",TODAY()-B5&lt;=60,"Moderate",TODAY()-B5&gt;60,"High"))</f>
        <v>High</v>
      </c>
    </row>
    <row r="6">
      <c r="A6" s="2" t="str">
        <f t="shared" si="1"/>
        <v>CMP005</v>
      </c>
      <c r="B6" s="4">
        <v>45989.0</v>
      </c>
      <c r="C6" s="2" t="s">
        <v>39</v>
      </c>
      <c r="D6" s="2">
        <v>2.8499942E7</v>
      </c>
      <c r="E6" s="5">
        <v>2.54700514693E11</v>
      </c>
      <c r="F6" s="5" t="s">
        <v>24</v>
      </c>
      <c r="G6" s="2" t="s">
        <v>25</v>
      </c>
      <c r="H6" s="2" t="s">
        <v>32</v>
      </c>
      <c r="I6" s="2" t="s">
        <v>33</v>
      </c>
      <c r="J6" s="2" t="s">
        <v>34</v>
      </c>
      <c r="K6" s="6">
        <v>31319.0</v>
      </c>
      <c r="L6" s="2" t="s">
        <v>35</v>
      </c>
      <c r="O6" s="2">
        <f t="shared" si="2"/>
        <v>138</v>
      </c>
      <c r="P6" s="2" t="str">
        <f t="array" ref="P6">IF(L6&lt;&gt;"Open","",IFS(TODAY()-B6&lt;=30,"Low",TODAY()-B6&lt;=60,"Moderate",TODAY()-B6&gt;60,"High"))</f>
        <v>High</v>
      </c>
    </row>
    <row r="7">
      <c r="A7" s="2" t="str">
        <f t="shared" si="1"/>
        <v>CMP006</v>
      </c>
      <c r="B7" s="4">
        <v>45868.0</v>
      </c>
      <c r="C7" s="2" t="s">
        <v>40</v>
      </c>
      <c r="D7" s="2">
        <v>2.42522E7</v>
      </c>
      <c r="E7" s="5">
        <v>2.54721123649E11</v>
      </c>
      <c r="F7" s="5" t="s">
        <v>24</v>
      </c>
      <c r="G7" s="2" t="s">
        <v>25</v>
      </c>
      <c r="H7" s="2" t="s">
        <v>32</v>
      </c>
      <c r="I7" s="2" t="s">
        <v>33</v>
      </c>
      <c r="J7" s="2" t="s">
        <v>34</v>
      </c>
      <c r="K7" s="6">
        <v>35104.0</v>
      </c>
      <c r="L7" s="2" t="s">
        <v>3</v>
      </c>
      <c r="M7" s="2" t="s">
        <v>41</v>
      </c>
      <c r="O7" s="2">
        <f t="shared" si="2"/>
        <v>259</v>
      </c>
      <c r="P7" s="2" t="str">
        <f t="array" ref="P7">IF(L7&lt;&gt;"Open","",IFS(TODAY()-B7&lt;=30,"Low",TODAY()-B7&lt;=60,"Moderate",TODAY()-B7&gt;60,"High"))</f>
        <v/>
      </c>
    </row>
    <row r="8">
      <c r="A8" s="2" t="str">
        <f t="shared" si="1"/>
        <v/>
      </c>
      <c r="B8" s="4"/>
      <c r="C8" s="2" t="s">
        <v>42</v>
      </c>
      <c r="D8" s="2">
        <v>2.1131822E7</v>
      </c>
      <c r="E8" s="5">
        <v>2.54729812095E11</v>
      </c>
      <c r="F8" s="5" t="s">
        <v>24</v>
      </c>
      <c r="G8" s="2" t="s">
        <v>31</v>
      </c>
      <c r="H8" s="2" t="s">
        <v>32</v>
      </c>
      <c r="I8" s="2" t="s">
        <v>43</v>
      </c>
      <c r="J8" s="2" t="s">
        <v>34</v>
      </c>
      <c r="K8" s="6">
        <v>35607.0</v>
      </c>
      <c r="L8" s="2"/>
      <c r="O8" s="2" t="str">
        <f t="shared" si="2"/>
        <v/>
      </c>
      <c r="P8" s="2" t="str">
        <f t="array" ref="P8">IF(L8&lt;&gt;"Open","",IFS(TODAY()-B8&lt;=30,"Low",TODAY()-B8&lt;=60,"Moderate",TODAY()-B8&gt;60,"High"))</f>
        <v/>
      </c>
    </row>
    <row r="9">
      <c r="A9" s="2" t="str">
        <f t="shared" si="1"/>
        <v>CMP008</v>
      </c>
      <c r="B9" s="4">
        <v>46092.0</v>
      </c>
      <c r="C9" s="2" t="s">
        <v>44</v>
      </c>
      <c r="D9" s="2">
        <v>2.6459123E7</v>
      </c>
      <c r="E9" s="5">
        <v>2.5470615686E11</v>
      </c>
      <c r="F9" s="5" t="s">
        <v>45</v>
      </c>
      <c r="G9" s="2" t="s">
        <v>31</v>
      </c>
      <c r="H9" s="2" t="s">
        <v>32</v>
      </c>
      <c r="I9" s="2" t="s">
        <v>46</v>
      </c>
      <c r="J9" s="2" t="s">
        <v>34</v>
      </c>
      <c r="K9" s="6">
        <v>14153.0</v>
      </c>
      <c r="L9" s="2"/>
      <c r="O9" s="2">
        <f t="shared" si="2"/>
        <v>35</v>
      </c>
      <c r="P9" s="2" t="str">
        <f t="array" ref="P9">IF(L9&lt;&gt;"Open","",IFS(TODAY()-B9&lt;=30,"Low",TODAY()-B9&lt;=60,"Moderate",TODAY()-B9&gt;60,"High"))</f>
        <v/>
      </c>
    </row>
    <row r="10">
      <c r="A10" s="2" t="str">
        <f t="shared" si="1"/>
        <v/>
      </c>
      <c r="B10" s="4"/>
      <c r="C10" s="2" t="s">
        <v>47</v>
      </c>
      <c r="D10" s="2">
        <v>1.1467049E7</v>
      </c>
      <c r="E10" s="5">
        <v>2.54727705815E11</v>
      </c>
      <c r="F10" s="5"/>
      <c r="G10" s="2" t="s">
        <v>31</v>
      </c>
      <c r="H10" s="2" t="s">
        <v>32</v>
      </c>
      <c r="I10" s="2" t="s">
        <v>33</v>
      </c>
      <c r="J10" s="2" t="s">
        <v>34</v>
      </c>
      <c r="K10" s="6">
        <v>14153.0</v>
      </c>
      <c r="L10" s="2" t="s">
        <v>5</v>
      </c>
      <c r="O10" s="2" t="str">
        <f t="shared" si="2"/>
        <v/>
      </c>
      <c r="P10" s="2" t="str">
        <f t="array" ref="P10">IF(L10&lt;&gt;"Open","",IFS(TODAY()-B10&lt;=30,"Low",TODAY()-B10&lt;=60,"Moderate",TODAY()-B10&gt;60,"High"))</f>
        <v/>
      </c>
    </row>
    <row r="11">
      <c r="A11" s="2" t="str">
        <f t="shared" si="1"/>
        <v/>
      </c>
      <c r="B11" s="4"/>
      <c r="C11" s="2" t="s">
        <v>48</v>
      </c>
      <c r="E11" s="5">
        <v>2.54720046879E11</v>
      </c>
      <c r="F11" s="5" t="s">
        <v>49</v>
      </c>
      <c r="G11" s="2" t="s">
        <v>50</v>
      </c>
      <c r="H11" s="2" t="s">
        <v>32</v>
      </c>
      <c r="I11" s="2" t="s">
        <v>33</v>
      </c>
      <c r="J11" s="2" t="s">
        <v>28</v>
      </c>
      <c r="K11" s="6">
        <v>0.0</v>
      </c>
      <c r="L11" s="2" t="s">
        <v>5</v>
      </c>
      <c r="O11" s="2" t="str">
        <f t="shared" si="2"/>
        <v/>
      </c>
      <c r="P11" s="2" t="str">
        <f t="array" ref="P11">IF(L11&lt;&gt;"Open","",IFS(TODAY()-B11&lt;=30,"Low",TODAY()-B11&lt;=60,"Moderate",TODAY()-B11&gt;60,"High"))</f>
        <v/>
      </c>
    </row>
    <row r="12">
      <c r="A12" s="2" t="str">
        <f t="shared" si="1"/>
        <v>CMP011</v>
      </c>
      <c r="B12" s="4">
        <v>45974.0</v>
      </c>
      <c r="C12" s="2" t="s">
        <v>51</v>
      </c>
      <c r="D12" s="2">
        <v>2.5980575E7</v>
      </c>
      <c r="E12" s="7">
        <v>2.54710113135E11</v>
      </c>
      <c r="F12" s="5" t="s">
        <v>49</v>
      </c>
      <c r="G12" s="2" t="s">
        <v>50</v>
      </c>
      <c r="H12" s="2" t="s">
        <v>32</v>
      </c>
      <c r="I12" s="2" t="s">
        <v>52</v>
      </c>
      <c r="J12" s="2" t="s">
        <v>28</v>
      </c>
      <c r="K12" s="6">
        <v>0.0</v>
      </c>
      <c r="L12" s="2" t="s">
        <v>5</v>
      </c>
      <c r="O12" s="2" t="str">
        <f t="shared" si="2"/>
        <v/>
      </c>
      <c r="P12" s="2" t="str">
        <f t="array" ref="P12">IF(L12&lt;&gt;"Open","",IFS(TODAY()-B12&lt;=30,"Low",TODAY()-B12&lt;=60,"Moderate",TODAY()-B12&gt;60,"High"))</f>
        <v/>
      </c>
    </row>
    <row r="13">
      <c r="A13" s="2" t="str">
        <f t="shared" si="1"/>
        <v>CMP012</v>
      </c>
      <c r="B13" s="4">
        <v>46043.0</v>
      </c>
      <c r="C13" s="2" t="s">
        <v>53</v>
      </c>
      <c r="D13" s="2">
        <v>1.1380129E7</v>
      </c>
      <c r="E13" s="7">
        <v>2.54710113135E11</v>
      </c>
      <c r="F13" s="5" t="s">
        <v>49</v>
      </c>
      <c r="G13" s="2" t="s">
        <v>50</v>
      </c>
      <c r="H13" s="2" t="s">
        <v>54</v>
      </c>
      <c r="I13" s="2" t="s">
        <v>55</v>
      </c>
      <c r="J13" s="2" t="s">
        <v>28</v>
      </c>
      <c r="K13" s="6">
        <v>0.0</v>
      </c>
      <c r="L13" s="2" t="s">
        <v>5</v>
      </c>
      <c r="O13" s="2" t="str">
        <f t="shared" si="2"/>
        <v/>
      </c>
      <c r="P13" s="2" t="str">
        <f t="array" ref="P13">IF(L13&lt;&gt;"Open","",IFS(TODAY()-B13&lt;=30,"Low",TODAY()-B13&lt;=60,"Moderate",TODAY()-B13&gt;60,"High"))</f>
        <v/>
      </c>
    </row>
    <row r="14">
      <c r="A14" s="2" t="str">
        <f t="shared" si="1"/>
        <v>CMP013</v>
      </c>
      <c r="B14" s="4">
        <v>46044.0</v>
      </c>
      <c r="C14" s="2" t="s">
        <v>56</v>
      </c>
      <c r="D14" s="2">
        <v>2.6341089E7</v>
      </c>
      <c r="E14" s="7">
        <v>2.54724275041E11</v>
      </c>
      <c r="F14" s="5" t="s">
        <v>49</v>
      </c>
      <c r="G14" s="2" t="s">
        <v>50</v>
      </c>
      <c r="H14" s="2" t="s">
        <v>32</v>
      </c>
      <c r="I14" s="2" t="s">
        <v>52</v>
      </c>
      <c r="J14" s="2" t="s">
        <v>28</v>
      </c>
      <c r="K14" s="6">
        <v>0.0</v>
      </c>
      <c r="L14" s="2" t="s">
        <v>5</v>
      </c>
      <c r="O14" s="2" t="str">
        <f t="shared" si="2"/>
        <v/>
      </c>
      <c r="P14" s="2" t="str">
        <f t="array" ref="P14">IF(L14&lt;&gt;"Open","",IFS(TODAY()-B14&lt;=30,"Low",TODAY()-B14&lt;=60,"Moderate",TODAY()-B14&gt;60,"High"))</f>
        <v/>
      </c>
    </row>
    <row r="15">
      <c r="A15" s="2" t="str">
        <f t="shared" si="1"/>
        <v>CMP014</v>
      </c>
      <c r="B15" s="4">
        <v>45971.0</v>
      </c>
      <c r="C15" s="2" t="s">
        <v>57</v>
      </c>
      <c r="D15" s="2">
        <v>1.1598558E7</v>
      </c>
      <c r="E15" s="7">
        <v>2.54721552446E11</v>
      </c>
      <c r="F15" s="5" t="s">
        <v>49</v>
      </c>
      <c r="G15" s="2" t="s">
        <v>50</v>
      </c>
      <c r="H15" s="2" t="s">
        <v>32</v>
      </c>
      <c r="I15" s="2" t="s">
        <v>33</v>
      </c>
      <c r="J15" s="2" t="s">
        <v>28</v>
      </c>
      <c r="K15" s="6">
        <v>0.0</v>
      </c>
      <c r="L15" s="2" t="s">
        <v>5</v>
      </c>
      <c r="O15" s="2" t="str">
        <f t="shared" si="2"/>
        <v/>
      </c>
      <c r="P15" s="2" t="str">
        <f t="array" ref="P15">IF(L15&lt;&gt;"Open","",IFS(TODAY()-B15&lt;=30,"Low",TODAY()-B15&lt;=60,"Moderate",TODAY()-B15&gt;60,"High"))</f>
        <v/>
      </c>
    </row>
    <row r="16">
      <c r="A16" s="2" t="str">
        <f t="shared" si="1"/>
        <v>CMP015</v>
      </c>
      <c r="B16" s="4">
        <v>45971.0</v>
      </c>
      <c r="C16" s="2" t="s">
        <v>58</v>
      </c>
      <c r="D16" s="2">
        <v>3.8237349E7</v>
      </c>
      <c r="E16" s="7">
        <v>2.54704118374E11</v>
      </c>
      <c r="F16" s="5" t="s">
        <v>49</v>
      </c>
      <c r="G16" s="2" t="s">
        <v>50</v>
      </c>
      <c r="H16" s="2" t="s">
        <v>54</v>
      </c>
      <c r="I16" s="2" t="s">
        <v>59</v>
      </c>
      <c r="J16" s="2" t="s">
        <v>34</v>
      </c>
      <c r="K16" s="6">
        <v>18653.0</v>
      </c>
      <c r="L16" s="2" t="s">
        <v>5</v>
      </c>
      <c r="O16" s="2" t="str">
        <f t="shared" si="2"/>
        <v/>
      </c>
      <c r="P16" s="2" t="str">
        <f t="array" ref="P16">IF(L16&lt;&gt;"Open","",IFS(TODAY()-B16&lt;=30,"Low",TODAY()-B16&lt;=60,"Moderate",TODAY()-B16&gt;60,"High"))</f>
        <v/>
      </c>
    </row>
    <row r="17">
      <c r="A17" s="2" t="str">
        <f t="shared" si="1"/>
        <v>CMP016</v>
      </c>
      <c r="B17" s="4">
        <v>45972.0</v>
      </c>
      <c r="C17" s="2" t="s">
        <v>60</v>
      </c>
      <c r="D17" s="2">
        <v>2.20694429E8</v>
      </c>
      <c r="E17" s="7" t="s">
        <v>61</v>
      </c>
      <c r="F17" s="5" t="s">
        <v>49</v>
      </c>
      <c r="G17" s="2" t="s">
        <v>50</v>
      </c>
      <c r="H17" s="2" t="s">
        <v>32</v>
      </c>
      <c r="I17" s="2" t="s">
        <v>33</v>
      </c>
      <c r="J17" s="2" t="s">
        <v>34</v>
      </c>
      <c r="K17" s="6">
        <v>20736.0</v>
      </c>
      <c r="L17" s="2" t="s">
        <v>5</v>
      </c>
      <c r="O17" s="2" t="str">
        <f t="shared" si="2"/>
        <v/>
      </c>
      <c r="P17" s="2" t="str">
        <f t="array" ref="P17">IF(L17&lt;&gt;"Open","",IFS(TODAY()-B17&lt;=30,"Low",TODAY()-B17&lt;=60,"Moderate",TODAY()-B17&gt;60,"High"))</f>
        <v/>
      </c>
    </row>
    <row r="18">
      <c r="A18" s="2" t="str">
        <f t="shared" si="1"/>
        <v>CMP017</v>
      </c>
      <c r="B18" s="4">
        <v>45976.0</v>
      </c>
      <c r="C18" s="2" t="s">
        <v>62</v>
      </c>
      <c r="D18" s="2">
        <v>7010512.0</v>
      </c>
      <c r="E18" s="7">
        <v>2.54768068199E11</v>
      </c>
      <c r="F18" s="5" t="s">
        <v>63</v>
      </c>
      <c r="G18" s="2" t="s">
        <v>64</v>
      </c>
      <c r="H18" s="2" t="s">
        <v>54</v>
      </c>
      <c r="I18" s="2" t="s">
        <v>65</v>
      </c>
      <c r="J18" s="2" t="s">
        <v>34</v>
      </c>
      <c r="K18" s="6">
        <v>1902.0</v>
      </c>
      <c r="L18" s="2" t="s">
        <v>5</v>
      </c>
      <c r="O18" s="2" t="str">
        <f t="shared" si="2"/>
        <v/>
      </c>
      <c r="P18" s="2" t="str">
        <f t="array" ref="P18">IF(L18&lt;&gt;"Open","",IFS(TODAY()-B18&lt;=30,"Low",TODAY()-B18&lt;=60,"Moderate",TODAY()-B18&gt;60,"High"))</f>
        <v/>
      </c>
    </row>
    <row r="19">
      <c r="A19" s="2" t="str">
        <f t="shared" si="1"/>
        <v>CMP018</v>
      </c>
      <c r="B19" s="4">
        <v>46093.0</v>
      </c>
      <c r="C19" s="2" t="s">
        <v>66</v>
      </c>
      <c r="D19" s="2">
        <v>1.3356487E7</v>
      </c>
      <c r="E19" s="7">
        <v>2.5472762827E11</v>
      </c>
      <c r="F19" s="5" t="s">
        <v>67</v>
      </c>
      <c r="G19" s="2" t="s">
        <v>64</v>
      </c>
      <c r="H19" s="2" t="s">
        <v>68</v>
      </c>
      <c r="I19" s="2" t="s">
        <v>69</v>
      </c>
      <c r="J19" s="2" t="s">
        <v>34</v>
      </c>
      <c r="K19" s="6">
        <v>8653.0</v>
      </c>
      <c r="L19" s="2" t="s">
        <v>35</v>
      </c>
      <c r="O19" s="2">
        <f t="shared" si="2"/>
        <v>34</v>
      </c>
      <c r="P19" s="2" t="str">
        <f t="array" ref="P19">IF(L19&lt;&gt;"Open","",IFS(TODAY()-B19&lt;=30,"Low",TODAY()-B19&lt;=60,"Moderate",TODAY()-B19&gt;60,"High"))</f>
        <v>Moderate</v>
      </c>
    </row>
    <row r="20">
      <c r="A20" s="2" t="str">
        <f t="shared" si="1"/>
        <v>CMP019</v>
      </c>
      <c r="B20" s="4">
        <v>46013.0</v>
      </c>
      <c r="C20" s="2" t="s">
        <v>70</v>
      </c>
      <c r="D20" s="2">
        <v>3738795.0</v>
      </c>
      <c r="E20" s="7">
        <v>2.54704782935E11</v>
      </c>
      <c r="F20" s="5" t="s">
        <v>71</v>
      </c>
      <c r="G20" s="2" t="s">
        <v>50</v>
      </c>
      <c r="H20" s="2" t="s">
        <v>54</v>
      </c>
      <c r="I20" s="2" t="s">
        <v>72</v>
      </c>
      <c r="J20" s="2" t="s">
        <v>34</v>
      </c>
      <c r="K20" s="6">
        <v>45186.0</v>
      </c>
      <c r="L20" s="2" t="s">
        <v>5</v>
      </c>
      <c r="O20" s="2" t="str">
        <f t="shared" si="2"/>
        <v/>
      </c>
      <c r="P20" s="2" t="str">
        <f t="array" ref="P20">IF(L20&lt;&gt;"Open","",IFS(TODAY()-B20&lt;=30,"Low",TODAY()-B20&lt;=60,"Moderate",TODAY()-B20&gt;60,"High"))</f>
        <v/>
      </c>
    </row>
    <row r="21" ht="15.75" customHeight="1">
      <c r="A21" s="2" t="str">
        <f t="shared" si="1"/>
        <v>CMP020</v>
      </c>
      <c r="B21" s="4">
        <v>46045.0</v>
      </c>
      <c r="C21" s="2" t="s">
        <v>73</v>
      </c>
      <c r="D21" s="2">
        <v>2.00506E7</v>
      </c>
      <c r="E21" s="7">
        <v>2.54722878751E11</v>
      </c>
      <c r="F21" s="5" t="s">
        <v>63</v>
      </c>
      <c r="G21" s="2" t="s">
        <v>74</v>
      </c>
      <c r="H21" s="2" t="s">
        <v>54</v>
      </c>
      <c r="I21" s="2" t="s">
        <v>75</v>
      </c>
      <c r="J21" s="2" t="s">
        <v>34</v>
      </c>
      <c r="K21" s="6">
        <v>33647.0</v>
      </c>
      <c r="L21" s="2"/>
      <c r="O21" s="2">
        <f t="shared" si="2"/>
        <v>82</v>
      </c>
      <c r="P21" s="2" t="str">
        <f t="array" ref="P21">IF(L21&lt;&gt;"Open","",IFS(TODAY()-B21&lt;=30,"Low",TODAY()-B21&lt;=60,"Moderate",TODAY()-B21&gt;60,"High"))</f>
        <v/>
      </c>
    </row>
    <row r="22" ht="15.75" customHeight="1">
      <c r="A22" s="2" t="str">
        <f t="shared" si="1"/>
        <v>CMP021</v>
      </c>
      <c r="B22" s="4">
        <v>45927.0</v>
      </c>
      <c r="C22" s="8" t="s">
        <v>76</v>
      </c>
      <c r="D22" s="2">
        <v>2.201381E7</v>
      </c>
      <c r="E22" s="7">
        <v>2.54712715077E11</v>
      </c>
      <c r="F22" s="5" t="s">
        <v>63</v>
      </c>
      <c r="G22" s="2" t="s">
        <v>77</v>
      </c>
      <c r="H22" s="2" t="s">
        <v>32</v>
      </c>
      <c r="I22" s="2" t="s">
        <v>78</v>
      </c>
      <c r="J22" s="2" t="s">
        <v>34</v>
      </c>
      <c r="K22" s="6">
        <v>33633.0</v>
      </c>
      <c r="L22" s="2"/>
      <c r="O22" s="2">
        <f t="shared" si="2"/>
        <v>200</v>
      </c>
      <c r="P22" s="2" t="str">
        <f t="array" ref="P22">IF(L22&lt;&gt;"Open","",IFS(TODAY()-B22&lt;=30,"Low",TODAY()-B22&lt;=60,"Moderate",TODAY()-B22&gt;60,"High"))</f>
        <v/>
      </c>
    </row>
    <row r="23" ht="15.75" customHeight="1">
      <c r="A23" s="2" t="str">
        <f t="shared" si="1"/>
        <v>CMP022</v>
      </c>
      <c r="B23" s="4">
        <v>46052.0</v>
      </c>
      <c r="C23" s="8" t="s">
        <v>79</v>
      </c>
      <c r="D23" s="2">
        <v>2507130.0</v>
      </c>
      <c r="E23" s="7">
        <v>2.54721880142E11</v>
      </c>
      <c r="F23" s="5" t="s">
        <v>63</v>
      </c>
      <c r="G23" s="2" t="s">
        <v>77</v>
      </c>
      <c r="H23" s="2" t="s">
        <v>32</v>
      </c>
      <c r="I23" s="2" t="s">
        <v>33</v>
      </c>
      <c r="J23" s="2" t="s">
        <v>34</v>
      </c>
      <c r="K23" s="6">
        <v>35753.0</v>
      </c>
      <c r="L23" s="2" t="s">
        <v>5</v>
      </c>
      <c r="O23" s="2" t="str">
        <f t="shared" si="2"/>
        <v/>
      </c>
      <c r="P23" s="2" t="str">
        <f t="array" ref="P23">IF(L23&lt;&gt;"Open","",IFS(TODAY()-B23&lt;=30,"Low",TODAY()-B23&lt;=60,"Moderate",TODAY()-B23&gt;60,"High"))</f>
        <v/>
      </c>
    </row>
    <row r="24" ht="15.75" customHeight="1">
      <c r="A24" s="2" t="str">
        <f t="shared" si="1"/>
        <v>CMP023</v>
      </c>
      <c r="B24" s="4">
        <v>46074.0</v>
      </c>
      <c r="C24" s="2" t="s">
        <v>80</v>
      </c>
      <c r="D24" s="2">
        <v>7461017.0</v>
      </c>
      <c r="E24" s="7">
        <v>2.54794483912E11</v>
      </c>
      <c r="F24" s="5" t="s">
        <v>63</v>
      </c>
      <c r="G24" s="2" t="s">
        <v>77</v>
      </c>
      <c r="H24" s="2" t="s">
        <v>26</v>
      </c>
      <c r="I24" s="2" t="s">
        <v>81</v>
      </c>
      <c r="J24" s="2" t="s">
        <v>34</v>
      </c>
      <c r="K24" s="6">
        <v>41080.0</v>
      </c>
      <c r="L24" s="2" t="s">
        <v>5</v>
      </c>
      <c r="O24" s="2" t="str">
        <f t="shared" si="2"/>
        <v/>
      </c>
      <c r="P24" s="2" t="str">
        <f t="array" ref="P24">IF(L24&lt;&gt;"Open","",IFS(TODAY()-B24&lt;=30,"Low",TODAY()-B24&lt;=60,"Moderate",TODAY()-B24&gt;60,"High"))</f>
        <v/>
      </c>
    </row>
    <row r="25" ht="15.75" customHeight="1">
      <c r="A25" s="2" t="str">
        <f t="shared" si="1"/>
        <v/>
      </c>
      <c r="C25" s="2" t="s">
        <v>82</v>
      </c>
      <c r="D25" s="2">
        <v>398828.0</v>
      </c>
      <c r="E25" s="7">
        <v>2.54720680592E11</v>
      </c>
      <c r="F25" s="5" t="s">
        <v>63</v>
      </c>
      <c r="G25" s="2" t="s">
        <v>77</v>
      </c>
      <c r="H25" s="2" t="s">
        <v>83</v>
      </c>
      <c r="I25" s="2" t="s">
        <v>84</v>
      </c>
      <c r="J25" s="2" t="s">
        <v>85</v>
      </c>
      <c r="K25" s="6">
        <v>0.0</v>
      </c>
      <c r="L25" s="2"/>
      <c r="O25" s="2" t="str">
        <f t="shared" si="2"/>
        <v/>
      </c>
      <c r="P25" s="2" t="str">
        <f t="array" ref="P25">IF(L25&lt;&gt;"Open","",IFS(TODAY()-B25&lt;=30,"Low",TODAY()-B25&lt;=60,"Moderate",TODAY()-B25&gt;60,"High"))</f>
        <v/>
      </c>
    </row>
    <row r="26" ht="15.75" customHeight="1">
      <c r="A26" s="2" t="str">
        <f t="shared" si="1"/>
        <v>CMP025</v>
      </c>
      <c r="B26" s="4">
        <v>45954.0</v>
      </c>
      <c r="C26" s="2" t="s">
        <v>86</v>
      </c>
      <c r="D26" s="2">
        <v>9697802.0</v>
      </c>
      <c r="E26" s="7">
        <v>2.54712239395E11</v>
      </c>
      <c r="F26" s="5" t="s">
        <v>63</v>
      </c>
      <c r="G26" s="2" t="s">
        <v>77</v>
      </c>
      <c r="H26" s="2"/>
      <c r="J26" s="2" t="s">
        <v>34</v>
      </c>
      <c r="K26" s="6">
        <v>12295.0</v>
      </c>
      <c r="L26" s="2" t="s">
        <v>5</v>
      </c>
      <c r="O26" s="2" t="str">
        <f t="shared" si="2"/>
        <v/>
      </c>
      <c r="P26" s="2" t="str">
        <f t="array" ref="P26">IF(L26&lt;&gt;"Open","",IFS(TODAY()-B26&lt;=30,"Low",TODAY()-B26&lt;=60,"Moderate",TODAY()-B26&gt;60,"High"))</f>
        <v/>
      </c>
    </row>
    <row r="27" ht="15.75" customHeight="1">
      <c r="A27" s="2" t="str">
        <f t="shared" si="1"/>
        <v/>
      </c>
      <c r="C27" s="2" t="s">
        <v>87</v>
      </c>
      <c r="D27" s="2">
        <v>2.7677504E7</v>
      </c>
      <c r="E27" s="7">
        <v>2.54703846037E11</v>
      </c>
      <c r="F27" s="5" t="s">
        <v>63</v>
      </c>
      <c r="G27" s="2" t="s">
        <v>77</v>
      </c>
      <c r="H27" s="2"/>
      <c r="J27" s="2" t="s">
        <v>88</v>
      </c>
      <c r="K27" s="6">
        <v>0.0</v>
      </c>
      <c r="L27" s="2"/>
      <c r="O27" s="2" t="str">
        <f t="shared" si="2"/>
        <v/>
      </c>
      <c r="P27" s="2" t="str">
        <f t="array" ref="P27">IF(L27&lt;&gt;"Open","",IFS(TODAY()-B27&lt;=30,"Low",TODAY()-B27&lt;=60,"Moderate",TODAY()-B27&gt;60,"High"))</f>
        <v/>
      </c>
    </row>
    <row r="28" ht="15.75" customHeight="1">
      <c r="A28" s="2" t="str">
        <f t="shared" si="1"/>
        <v>CMP027</v>
      </c>
      <c r="B28" s="4">
        <v>45980.0</v>
      </c>
      <c r="C28" s="2" t="s">
        <v>89</v>
      </c>
      <c r="E28" s="7">
        <v>2.54719820192E11</v>
      </c>
      <c r="F28" s="5" t="s">
        <v>63</v>
      </c>
      <c r="G28" s="2" t="s">
        <v>77</v>
      </c>
      <c r="H28" s="2" t="s">
        <v>83</v>
      </c>
      <c r="I28" s="2" t="s">
        <v>90</v>
      </c>
      <c r="J28" s="2" t="s">
        <v>88</v>
      </c>
      <c r="K28" s="6">
        <v>0.0</v>
      </c>
      <c r="L28" s="2" t="s">
        <v>5</v>
      </c>
      <c r="O28" s="2" t="str">
        <f t="shared" si="2"/>
        <v/>
      </c>
      <c r="P28" s="2" t="str">
        <f t="array" ref="P28">IF(L28&lt;&gt;"Open","",IFS(TODAY()-B28&lt;=30,"Low",TODAY()-B28&lt;=60,"Moderate",TODAY()-B28&gt;60,"High"))</f>
        <v/>
      </c>
    </row>
    <row r="29" ht="15.75" customHeight="1">
      <c r="A29" s="2" t="str">
        <f t="shared" si="1"/>
        <v>CMP028</v>
      </c>
      <c r="B29" s="4">
        <v>45918.0</v>
      </c>
      <c r="C29" s="2" t="s">
        <v>91</v>
      </c>
      <c r="D29" s="2">
        <v>2.1782701E7</v>
      </c>
      <c r="E29" s="7">
        <v>2.54703959341E11</v>
      </c>
      <c r="F29" s="5" t="s">
        <v>63</v>
      </c>
      <c r="G29" s="2" t="s">
        <v>77</v>
      </c>
      <c r="H29" s="2" t="s">
        <v>32</v>
      </c>
      <c r="I29" s="2" t="s">
        <v>92</v>
      </c>
      <c r="J29" s="2" t="s">
        <v>88</v>
      </c>
      <c r="K29" s="6">
        <v>0.0</v>
      </c>
      <c r="L29" s="2" t="s">
        <v>5</v>
      </c>
      <c r="O29" s="2" t="str">
        <f t="shared" si="2"/>
        <v/>
      </c>
      <c r="P29" s="2" t="str">
        <f t="array" ref="P29">IF(L29&lt;&gt;"Open","",IFS(TODAY()-B29&lt;=30,"Low",TODAY()-B29&lt;=60,"Moderate",TODAY()-B29&gt;60,"High"))</f>
        <v/>
      </c>
    </row>
    <row r="30" ht="15.75" customHeight="1">
      <c r="A30" s="2" t="str">
        <f t="shared" si="1"/>
        <v>CMP029</v>
      </c>
      <c r="B30" s="4">
        <v>45995.0</v>
      </c>
      <c r="C30" s="2" t="s">
        <v>93</v>
      </c>
      <c r="D30" s="2">
        <v>7010512.0</v>
      </c>
      <c r="E30" s="7">
        <v>2.54722759231E11</v>
      </c>
      <c r="F30" s="5" t="s">
        <v>67</v>
      </c>
      <c r="G30" s="2" t="s">
        <v>64</v>
      </c>
      <c r="H30" s="2" t="s">
        <v>32</v>
      </c>
      <c r="I30" s="2" t="s">
        <v>94</v>
      </c>
      <c r="J30" s="2" t="s">
        <v>34</v>
      </c>
      <c r="K30" s="6">
        <v>8652.0</v>
      </c>
      <c r="L30" s="2" t="s">
        <v>5</v>
      </c>
      <c r="O30" s="2" t="str">
        <f t="shared" si="2"/>
        <v/>
      </c>
      <c r="P30" s="2" t="str">
        <f t="array" ref="P30">IF(L30&lt;&gt;"Open","",IFS(TODAY()-B30&lt;=30,"Low",TODAY()-B30&lt;=60,"Moderate",TODAY()-B30&gt;60,"High"))</f>
        <v/>
      </c>
    </row>
    <row r="31" ht="15.75" customHeight="1">
      <c r="A31" s="2" t="str">
        <f t="shared" si="1"/>
        <v/>
      </c>
      <c r="F31" s="5"/>
      <c r="H31" s="2"/>
      <c r="L31" s="2"/>
      <c r="O31" s="2" t="str">
        <f t="shared" si="2"/>
        <v/>
      </c>
      <c r="P31" s="2" t="str">
        <f t="array" ref="P31">IF(L31&lt;&gt;"Open","",IFS(TODAY()-B31&lt;=30,"Low",TODAY()-B31&lt;=60,"Moderate",TODAY()-B31&gt;60,"High"))</f>
        <v/>
      </c>
    </row>
    <row r="32" ht="15.75" customHeight="1">
      <c r="A32" s="2" t="str">
        <f t="shared" si="1"/>
        <v/>
      </c>
      <c r="F32" s="5"/>
      <c r="H32" s="2"/>
      <c r="L32" s="2"/>
      <c r="O32" s="2" t="str">
        <f t="shared" si="2"/>
        <v/>
      </c>
    </row>
    <row r="33" ht="15.75" customHeight="1">
      <c r="A33" s="2" t="str">
        <f t="shared" si="1"/>
        <v/>
      </c>
      <c r="F33" s="5"/>
      <c r="H33" s="2"/>
      <c r="L33" s="2"/>
      <c r="O33" s="2" t="str">
        <f t="shared" si="2"/>
        <v/>
      </c>
    </row>
    <row r="34" ht="15.75" customHeight="1">
      <c r="A34" s="2" t="str">
        <f t="shared" si="1"/>
        <v/>
      </c>
      <c r="F34" s="5"/>
      <c r="H34" s="2"/>
      <c r="L34" s="2"/>
      <c r="O34" s="2" t="str">
        <f t="shared" si="2"/>
        <v/>
      </c>
    </row>
    <row r="35" ht="15.75" customHeight="1">
      <c r="A35" s="2" t="str">
        <f t="shared" si="1"/>
        <v/>
      </c>
      <c r="F35" s="5"/>
      <c r="H35" s="2"/>
      <c r="L35" s="2"/>
      <c r="O35" s="2" t="str">
        <f t="shared" si="2"/>
        <v/>
      </c>
    </row>
    <row r="36" ht="15.75" customHeight="1">
      <c r="A36" s="2" t="str">
        <f t="shared" si="1"/>
        <v/>
      </c>
      <c r="F36" s="5"/>
      <c r="H36" s="2"/>
      <c r="L36" s="2"/>
      <c r="O36" s="2" t="str">
        <f t="shared" si="2"/>
        <v/>
      </c>
    </row>
    <row r="37" ht="15.75" customHeight="1">
      <c r="A37" s="2" t="str">
        <f t="shared" si="1"/>
        <v/>
      </c>
      <c r="F37" s="5"/>
      <c r="H37" s="2"/>
      <c r="L37" s="2"/>
      <c r="O37" s="2" t="str">
        <f t="shared" si="2"/>
        <v/>
      </c>
    </row>
    <row r="38" ht="15.75" customHeight="1">
      <c r="A38" s="2" t="str">
        <f t="shared" si="1"/>
        <v/>
      </c>
      <c r="F38" s="5"/>
      <c r="H38" s="2"/>
      <c r="L38" s="2"/>
      <c r="O38" s="2" t="str">
        <f t="shared" si="2"/>
        <v/>
      </c>
    </row>
    <row r="39" ht="15.75" customHeight="1">
      <c r="A39" s="2" t="str">
        <f t="shared" si="1"/>
        <v/>
      </c>
      <c r="F39" s="5"/>
      <c r="H39" s="2"/>
      <c r="L39" s="2"/>
      <c r="O39" s="2" t="str">
        <f t="shared" si="2"/>
        <v/>
      </c>
    </row>
    <row r="40" ht="15.75" customHeight="1">
      <c r="A40" s="2" t="str">
        <f t="shared" si="1"/>
        <v/>
      </c>
      <c r="F40" s="5"/>
      <c r="H40" s="2"/>
      <c r="L40" s="2"/>
      <c r="O40" s="2" t="str">
        <f t="shared" si="2"/>
        <v/>
      </c>
    </row>
    <row r="41" ht="15.75" customHeight="1">
      <c r="A41" s="2" t="str">
        <f t="shared" si="1"/>
        <v/>
      </c>
      <c r="F41" s="5"/>
      <c r="H41" s="2"/>
      <c r="L41" s="2"/>
      <c r="O41" s="2" t="str">
        <f t="shared" si="2"/>
        <v/>
      </c>
    </row>
    <row r="42" ht="15.75" customHeight="1">
      <c r="A42" s="2" t="str">
        <f t="shared" si="1"/>
        <v/>
      </c>
      <c r="F42" s="5"/>
      <c r="H42" s="2"/>
      <c r="L42" s="2"/>
      <c r="O42" s="2" t="str">
        <f t="shared" si="2"/>
        <v/>
      </c>
    </row>
    <row r="43" ht="15.75" customHeight="1">
      <c r="A43" s="2" t="str">
        <f t="shared" si="1"/>
        <v/>
      </c>
      <c r="F43" s="5"/>
      <c r="H43" s="2"/>
      <c r="L43" s="2"/>
      <c r="O43" s="2" t="str">
        <f t="shared" si="2"/>
        <v/>
      </c>
    </row>
    <row r="44" ht="15.75" customHeight="1">
      <c r="A44" s="2" t="str">
        <f t="shared" si="1"/>
        <v/>
      </c>
      <c r="F44" s="5"/>
      <c r="H44" s="2"/>
      <c r="L44" s="2"/>
      <c r="O44" s="2" t="str">
        <f t="shared" si="2"/>
        <v/>
      </c>
    </row>
    <row r="45" ht="15.75" customHeight="1">
      <c r="A45" s="2" t="str">
        <f t="shared" si="1"/>
        <v/>
      </c>
      <c r="F45" s="5"/>
      <c r="H45" s="2"/>
      <c r="L45" s="2"/>
      <c r="O45" s="2" t="str">
        <f t="shared" si="2"/>
        <v/>
      </c>
    </row>
    <row r="46" ht="15.75" customHeight="1">
      <c r="A46" s="2" t="str">
        <f t="shared" si="1"/>
        <v/>
      </c>
      <c r="F46" s="5"/>
      <c r="H46" s="2"/>
      <c r="L46" s="2"/>
      <c r="O46" s="2" t="str">
        <f t="shared" si="2"/>
        <v/>
      </c>
    </row>
    <row r="47" ht="15.75" customHeight="1">
      <c r="A47" s="2" t="str">
        <f t="shared" si="1"/>
        <v/>
      </c>
      <c r="F47" s="5"/>
      <c r="H47" s="2"/>
      <c r="L47" s="2"/>
      <c r="O47" s="2" t="str">
        <f t="shared" si="2"/>
        <v/>
      </c>
    </row>
    <row r="48" ht="15.75" customHeight="1">
      <c r="A48" s="2" t="str">
        <f t="shared" si="1"/>
        <v/>
      </c>
      <c r="F48" s="5"/>
      <c r="H48" s="2"/>
      <c r="L48" s="2"/>
      <c r="O48" s="2" t="str">
        <f t="shared" si="2"/>
        <v/>
      </c>
    </row>
    <row r="49" ht="15.75" customHeight="1">
      <c r="A49" s="2" t="str">
        <f t="shared" si="1"/>
        <v/>
      </c>
      <c r="F49" s="5"/>
      <c r="H49" s="2"/>
      <c r="L49" s="2"/>
      <c r="O49" s="2" t="str">
        <f t="shared" si="2"/>
        <v/>
      </c>
    </row>
    <row r="50" ht="15.75" customHeight="1">
      <c r="A50" s="2" t="str">
        <f t="shared" si="1"/>
        <v/>
      </c>
      <c r="F50" s="5"/>
      <c r="H50" s="2"/>
      <c r="L50" s="2"/>
      <c r="O50" s="2" t="str">
        <f t="shared" si="2"/>
        <v/>
      </c>
    </row>
    <row r="51" ht="15.75" customHeight="1">
      <c r="A51" s="2" t="str">
        <f t="shared" si="1"/>
        <v/>
      </c>
      <c r="F51" s="5"/>
      <c r="H51" s="2"/>
      <c r="L51" s="2"/>
      <c r="O51" s="2" t="str">
        <f t="shared" si="2"/>
        <v/>
      </c>
    </row>
    <row r="52" ht="15.75" customHeight="1">
      <c r="A52" s="2" t="str">
        <f t="shared" si="1"/>
        <v/>
      </c>
      <c r="F52" s="5"/>
      <c r="H52" s="2"/>
      <c r="L52" s="2"/>
      <c r="O52" s="2" t="str">
        <f t="shared" si="2"/>
        <v/>
      </c>
    </row>
    <row r="53" ht="15.75" customHeight="1">
      <c r="A53" s="2" t="str">
        <f t="shared" si="1"/>
        <v/>
      </c>
      <c r="F53" s="5"/>
      <c r="H53" s="2"/>
      <c r="L53" s="2"/>
      <c r="O53" s="2" t="str">
        <f t="shared" si="2"/>
        <v/>
      </c>
    </row>
    <row r="54" ht="15.75" customHeight="1">
      <c r="A54" s="2" t="str">
        <f t="shared" si="1"/>
        <v/>
      </c>
      <c r="F54" s="5"/>
      <c r="H54" s="2"/>
      <c r="L54" s="2"/>
      <c r="O54" s="2" t="str">
        <f t="shared" si="2"/>
        <v/>
      </c>
    </row>
    <row r="55" ht="15.75" customHeight="1">
      <c r="A55" s="2" t="str">
        <f t="shared" si="1"/>
        <v/>
      </c>
      <c r="F55" s="5"/>
      <c r="H55" s="2"/>
      <c r="L55" s="2"/>
      <c r="O55" s="2" t="str">
        <f t="shared" si="2"/>
        <v/>
      </c>
    </row>
    <row r="56" ht="15.75" customHeight="1">
      <c r="A56" s="2" t="str">
        <f t="shared" si="1"/>
        <v/>
      </c>
      <c r="F56" s="5"/>
      <c r="H56" s="2"/>
      <c r="L56" s="2"/>
      <c r="O56" s="2" t="str">
        <f t="shared" si="2"/>
        <v/>
      </c>
    </row>
    <row r="57" ht="15.75" customHeight="1">
      <c r="A57" s="2" t="str">
        <f t="shared" si="1"/>
        <v/>
      </c>
      <c r="F57" s="5"/>
      <c r="H57" s="2"/>
      <c r="L57" s="2"/>
      <c r="O57" s="2" t="str">
        <f t="shared" si="2"/>
        <v/>
      </c>
    </row>
    <row r="58" ht="15.75" customHeight="1">
      <c r="A58" s="2" t="str">
        <f t="shared" si="1"/>
        <v/>
      </c>
      <c r="F58" s="5"/>
      <c r="H58" s="2"/>
      <c r="L58" s="2"/>
      <c r="O58" s="2" t="str">
        <f t="shared" si="2"/>
        <v/>
      </c>
    </row>
    <row r="59" ht="15.75" customHeight="1">
      <c r="A59" s="2" t="str">
        <f t="shared" si="1"/>
        <v/>
      </c>
      <c r="F59" s="5"/>
      <c r="H59" s="2"/>
      <c r="L59" s="2"/>
      <c r="O59" s="2" t="str">
        <f t="shared" si="2"/>
        <v/>
      </c>
    </row>
    <row r="60" ht="15.75" customHeight="1">
      <c r="A60" s="2" t="str">
        <f t="shared" si="1"/>
        <v/>
      </c>
      <c r="F60" s="5"/>
      <c r="H60" s="2"/>
      <c r="L60" s="2"/>
      <c r="O60" s="2" t="str">
        <f t="shared" si="2"/>
        <v/>
      </c>
    </row>
    <row r="61" ht="15.75" customHeight="1">
      <c r="A61" s="2" t="str">
        <f t="shared" si="1"/>
        <v/>
      </c>
      <c r="F61" s="5"/>
      <c r="H61" s="2"/>
      <c r="L61" s="2"/>
      <c r="O61" s="2" t="str">
        <f t="shared" si="2"/>
        <v/>
      </c>
    </row>
    <row r="62" ht="15.75" customHeight="1">
      <c r="A62" s="2" t="str">
        <f t="shared" si="1"/>
        <v/>
      </c>
      <c r="F62" s="5"/>
      <c r="H62" s="2"/>
      <c r="L62" s="2"/>
      <c r="O62" s="2" t="str">
        <f t="shared" si="2"/>
        <v/>
      </c>
    </row>
    <row r="63" ht="15.75" customHeight="1">
      <c r="A63" s="2" t="str">
        <f t="shared" si="1"/>
        <v/>
      </c>
      <c r="F63" s="5"/>
      <c r="H63" s="2"/>
      <c r="L63" s="2"/>
      <c r="O63" s="2" t="str">
        <f t="shared" si="2"/>
        <v/>
      </c>
    </row>
    <row r="64" ht="15.75" customHeight="1">
      <c r="A64" s="2" t="str">
        <f t="shared" si="1"/>
        <v/>
      </c>
      <c r="F64" s="5"/>
      <c r="H64" s="2"/>
      <c r="L64" s="2"/>
      <c r="O64" s="2" t="str">
        <f t="shared" si="2"/>
        <v/>
      </c>
    </row>
    <row r="65" ht="15.75" customHeight="1">
      <c r="A65" s="2" t="str">
        <f t="shared" si="1"/>
        <v/>
      </c>
      <c r="F65" s="5"/>
      <c r="H65" s="2"/>
      <c r="L65" s="2"/>
      <c r="O65" s="2" t="str">
        <f t="shared" si="2"/>
        <v/>
      </c>
    </row>
    <row r="66" ht="15.75" customHeight="1">
      <c r="A66" s="2" t="str">
        <f t="shared" si="1"/>
        <v/>
      </c>
      <c r="F66" s="5"/>
      <c r="H66" s="2"/>
      <c r="L66" s="2"/>
      <c r="O66" s="2" t="str">
        <f t="shared" si="2"/>
        <v/>
      </c>
    </row>
    <row r="67" ht="15.75" customHeight="1">
      <c r="A67" s="2" t="str">
        <f t="shared" si="1"/>
        <v/>
      </c>
      <c r="F67" s="5"/>
      <c r="H67" s="2"/>
      <c r="L67" s="2"/>
      <c r="O67" s="2" t="str">
        <f t="shared" si="2"/>
        <v/>
      </c>
    </row>
    <row r="68" ht="15.75" customHeight="1">
      <c r="A68" s="2" t="str">
        <f t="shared" si="1"/>
        <v/>
      </c>
      <c r="F68" s="5"/>
      <c r="H68" s="2"/>
      <c r="L68" s="2"/>
      <c r="O68" s="2" t="str">
        <f t="shared" si="2"/>
        <v/>
      </c>
    </row>
    <row r="69" ht="15.75" customHeight="1">
      <c r="A69" s="2" t="str">
        <f t="shared" si="1"/>
        <v/>
      </c>
      <c r="F69" s="5"/>
      <c r="H69" s="2"/>
      <c r="L69" s="2"/>
      <c r="O69" s="2" t="str">
        <f t="shared" si="2"/>
        <v/>
      </c>
    </row>
    <row r="70" ht="15.75" customHeight="1">
      <c r="A70" s="2" t="str">
        <f t="shared" si="1"/>
        <v/>
      </c>
      <c r="F70" s="5"/>
      <c r="H70" s="2"/>
      <c r="L70" s="2"/>
      <c r="O70" s="2" t="str">
        <f t="shared" si="2"/>
        <v/>
      </c>
    </row>
    <row r="71" ht="15.75" customHeight="1">
      <c r="A71" s="2" t="str">
        <f t="shared" si="1"/>
        <v/>
      </c>
      <c r="F71" s="5"/>
      <c r="H71" s="2"/>
      <c r="L71" s="2"/>
      <c r="O71" s="2" t="str">
        <f t="shared" si="2"/>
        <v/>
      </c>
    </row>
    <row r="72" ht="15.75" customHeight="1">
      <c r="A72" s="2" t="str">
        <f t="shared" si="1"/>
        <v/>
      </c>
      <c r="F72" s="5"/>
      <c r="H72" s="2"/>
      <c r="L72" s="2"/>
      <c r="O72" s="2" t="str">
        <f t="shared" si="2"/>
        <v/>
      </c>
    </row>
    <row r="73" ht="15.75" customHeight="1">
      <c r="A73" s="2" t="str">
        <f t="shared" si="1"/>
        <v/>
      </c>
      <c r="F73" s="5"/>
      <c r="H73" s="2"/>
      <c r="L73" s="2"/>
      <c r="O73" s="2" t="str">
        <f t="shared" si="2"/>
        <v/>
      </c>
    </row>
    <row r="74" ht="15.75" customHeight="1">
      <c r="A74" s="2" t="str">
        <f t="shared" si="1"/>
        <v/>
      </c>
      <c r="F74" s="5"/>
      <c r="H74" s="2"/>
      <c r="L74" s="2"/>
      <c r="O74" s="2" t="str">
        <f t="shared" si="2"/>
        <v/>
      </c>
    </row>
    <row r="75" ht="15.75" customHeight="1">
      <c r="A75" s="2" t="str">
        <f t="shared" si="1"/>
        <v/>
      </c>
      <c r="F75" s="5"/>
      <c r="H75" s="2"/>
      <c r="L75" s="2"/>
      <c r="O75" s="2" t="str">
        <f t="shared" si="2"/>
        <v/>
      </c>
    </row>
    <row r="76" ht="15.75" customHeight="1">
      <c r="A76" s="2" t="str">
        <f t="shared" si="1"/>
        <v/>
      </c>
      <c r="F76" s="5"/>
      <c r="H76" s="2"/>
      <c r="L76" s="2"/>
      <c r="O76" s="2" t="str">
        <f t="shared" si="2"/>
        <v/>
      </c>
    </row>
    <row r="77" ht="15.75" customHeight="1">
      <c r="A77" s="2" t="str">
        <f t="shared" si="1"/>
        <v/>
      </c>
      <c r="F77" s="5"/>
      <c r="H77" s="2"/>
      <c r="L77" s="2"/>
      <c r="O77" s="2" t="str">
        <f t="shared" si="2"/>
        <v/>
      </c>
    </row>
    <row r="78" ht="15.75" customHeight="1">
      <c r="A78" s="2" t="str">
        <f t="shared" si="1"/>
        <v/>
      </c>
      <c r="F78" s="5"/>
      <c r="H78" s="2"/>
      <c r="L78" s="2"/>
      <c r="O78" s="2" t="str">
        <f t="shared" si="2"/>
        <v/>
      </c>
    </row>
    <row r="79" ht="15.75" customHeight="1">
      <c r="A79" s="2" t="str">
        <f t="shared" si="1"/>
        <v/>
      </c>
      <c r="F79" s="5"/>
      <c r="H79" s="2"/>
      <c r="L79" s="2"/>
      <c r="O79" s="2" t="str">
        <f t="shared" si="2"/>
        <v/>
      </c>
    </row>
    <row r="80" ht="15.75" customHeight="1">
      <c r="A80" s="2" t="str">
        <f t="shared" si="1"/>
        <v/>
      </c>
      <c r="F80" s="5"/>
      <c r="H80" s="2"/>
      <c r="L80" s="2"/>
      <c r="O80" s="2" t="str">
        <f t="shared" si="2"/>
        <v/>
      </c>
    </row>
    <row r="81" ht="15.75" customHeight="1">
      <c r="A81" s="2" t="str">
        <f t="shared" si="1"/>
        <v/>
      </c>
      <c r="F81" s="5"/>
      <c r="H81" s="2"/>
      <c r="L81" s="2"/>
      <c r="O81" s="2" t="str">
        <f t="shared" si="2"/>
        <v/>
      </c>
    </row>
    <row r="82" ht="15.75" customHeight="1">
      <c r="A82" s="2" t="str">
        <f t="shared" si="1"/>
        <v/>
      </c>
      <c r="F82" s="5"/>
      <c r="H82" s="2"/>
      <c r="L82" s="2"/>
      <c r="O82" s="2" t="str">
        <f t="shared" si="2"/>
        <v/>
      </c>
    </row>
    <row r="83" ht="15.75" customHeight="1">
      <c r="A83" s="2" t="str">
        <f t="shared" si="1"/>
        <v/>
      </c>
      <c r="F83" s="5"/>
      <c r="H83" s="2"/>
      <c r="L83" s="2"/>
      <c r="O83" s="2" t="str">
        <f t="shared" si="2"/>
        <v/>
      </c>
    </row>
    <row r="84" ht="15.75" customHeight="1">
      <c r="A84" s="2" t="str">
        <f t="shared" si="1"/>
        <v/>
      </c>
      <c r="F84" s="5"/>
      <c r="H84" s="2"/>
      <c r="L84" s="2"/>
      <c r="O84" s="2" t="str">
        <f t="shared" si="2"/>
        <v/>
      </c>
    </row>
    <row r="85" ht="15.75" customHeight="1">
      <c r="A85" s="2" t="str">
        <f t="shared" si="1"/>
        <v/>
      </c>
      <c r="F85" s="5"/>
      <c r="H85" s="2"/>
      <c r="L85" s="2"/>
      <c r="O85" s="2" t="str">
        <f t="shared" si="2"/>
        <v/>
      </c>
    </row>
    <row r="86" ht="15.75" customHeight="1">
      <c r="A86" s="2" t="str">
        <f t="shared" si="1"/>
        <v/>
      </c>
      <c r="F86" s="5"/>
      <c r="H86" s="2"/>
      <c r="L86" s="2"/>
      <c r="O86" s="2" t="str">
        <f t="shared" si="2"/>
        <v/>
      </c>
    </row>
    <row r="87" ht="15.75" customHeight="1">
      <c r="A87" s="2" t="str">
        <f t="shared" si="1"/>
        <v/>
      </c>
      <c r="F87" s="5"/>
      <c r="H87" s="2"/>
      <c r="L87" s="2"/>
      <c r="O87" s="2" t="str">
        <f t="shared" si="2"/>
        <v/>
      </c>
    </row>
    <row r="88" ht="15.75" customHeight="1">
      <c r="A88" s="2" t="str">
        <f t="shared" si="1"/>
        <v/>
      </c>
      <c r="F88" s="5"/>
      <c r="H88" s="2"/>
      <c r="L88" s="2"/>
      <c r="O88" s="2" t="str">
        <f t="shared" si="2"/>
        <v/>
      </c>
    </row>
    <row r="89" ht="15.75" customHeight="1">
      <c r="A89" s="2" t="str">
        <f t="shared" si="1"/>
        <v/>
      </c>
      <c r="F89" s="5"/>
      <c r="H89" s="2"/>
      <c r="L89" s="2"/>
      <c r="O89" s="2" t="str">
        <f t="shared" si="2"/>
        <v/>
      </c>
    </row>
    <row r="90" ht="15.75" customHeight="1">
      <c r="A90" s="2" t="str">
        <f t="shared" si="1"/>
        <v/>
      </c>
      <c r="F90" s="5"/>
      <c r="H90" s="2"/>
      <c r="L90" s="2"/>
      <c r="O90" s="2" t="str">
        <f t="shared" si="2"/>
        <v/>
      </c>
    </row>
    <row r="91" ht="15.75" customHeight="1">
      <c r="A91" s="2" t="str">
        <f t="shared" si="1"/>
        <v/>
      </c>
      <c r="F91" s="5"/>
      <c r="H91" s="2"/>
      <c r="L91" s="2"/>
      <c r="O91" s="2" t="str">
        <f t="shared" si="2"/>
        <v/>
      </c>
    </row>
    <row r="92" ht="15.75" customHeight="1">
      <c r="A92" s="2" t="str">
        <f t="shared" si="1"/>
        <v/>
      </c>
      <c r="F92" s="5"/>
      <c r="H92" s="2"/>
      <c r="L92" s="2"/>
      <c r="O92" s="2" t="str">
        <f t="shared" si="2"/>
        <v/>
      </c>
    </row>
    <row r="93" ht="15.75" customHeight="1">
      <c r="A93" s="2" t="str">
        <f t="shared" si="1"/>
        <v/>
      </c>
      <c r="F93" s="5"/>
      <c r="H93" s="2"/>
      <c r="L93" s="2"/>
      <c r="O93" s="2" t="str">
        <f t="shared" si="2"/>
        <v/>
      </c>
    </row>
    <row r="94" ht="15.75" customHeight="1">
      <c r="A94" s="2" t="str">
        <f t="shared" si="1"/>
        <v/>
      </c>
      <c r="F94" s="5"/>
      <c r="H94" s="2"/>
      <c r="L94" s="2"/>
      <c r="O94" s="2" t="str">
        <f t="shared" si="2"/>
        <v/>
      </c>
    </row>
    <row r="95" ht="15.75" customHeight="1">
      <c r="A95" s="2" t="str">
        <f t="shared" si="1"/>
        <v/>
      </c>
      <c r="F95" s="5"/>
      <c r="H95" s="2"/>
      <c r="L95" s="2"/>
      <c r="O95" s="2" t="str">
        <f t="shared" si="2"/>
        <v/>
      </c>
    </row>
    <row r="96" ht="15.75" customHeight="1">
      <c r="A96" s="2" t="str">
        <f t="shared" si="1"/>
        <v/>
      </c>
      <c r="F96" s="5"/>
      <c r="H96" s="2"/>
      <c r="L96" s="2"/>
      <c r="O96" s="2" t="str">
        <f t="shared" si="2"/>
        <v/>
      </c>
    </row>
    <row r="97" ht="15.75" customHeight="1">
      <c r="A97" s="2" t="str">
        <f t="shared" si="1"/>
        <v/>
      </c>
      <c r="F97" s="5"/>
      <c r="H97" s="2"/>
      <c r="L97" s="2"/>
      <c r="O97" s="2" t="str">
        <f t="shared" si="2"/>
        <v/>
      </c>
    </row>
    <row r="98" ht="15.75" customHeight="1">
      <c r="A98" s="2" t="str">
        <f t="shared" si="1"/>
        <v/>
      </c>
      <c r="F98" s="5"/>
      <c r="H98" s="2"/>
      <c r="L98" s="2"/>
      <c r="O98" s="2" t="str">
        <f t="shared" si="2"/>
        <v/>
      </c>
    </row>
    <row r="99" ht="15.75" customHeight="1">
      <c r="A99" s="2" t="str">
        <f t="shared" si="1"/>
        <v/>
      </c>
      <c r="F99" s="5"/>
      <c r="H99" s="2"/>
      <c r="L99" s="2"/>
      <c r="O99" s="2" t="str">
        <f t="shared" si="2"/>
        <v/>
      </c>
    </row>
    <row r="100" ht="15.75" customHeight="1">
      <c r="A100" s="2" t="str">
        <f t="shared" si="1"/>
        <v/>
      </c>
      <c r="F100" s="5"/>
      <c r="H100" s="2"/>
      <c r="L100" s="2"/>
      <c r="O100" s="2" t="str">
        <f t="shared" si="2"/>
        <v/>
      </c>
    </row>
    <row r="101" ht="15.75" customHeight="1">
      <c r="A101" s="2" t="str">
        <f t="shared" si="1"/>
        <v/>
      </c>
      <c r="F101" s="5"/>
      <c r="H101" s="2"/>
      <c r="L101" s="2"/>
      <c r="O101" s="2" t="str">
        <f t="shared" si="2"/>
        <v/>
      </c>
    </row>
    <row r="102" ht="15.75" customHeight="1">
      <c r="A102" s="2" t="str">
        <f t="shared" si="1"/>
        <v/>
      </c>
      <c r="F102" s="5"/>
      <c r="H102" s="2"/>
      <c r="L102" s="2"/>
      <c r="O102" s="2" t="str">
        <f t="shared" si="2"/>
        <v/>
      </c>
    </row>
    <row r="103" ht="15.75" customHeight="1">
      <c r="A103" s="2" t="str">
        <f t="shared" si="1"/>
        <v/>
      </c>
      <c r="F103" s="5"/>
      <c r="H103" s="2"/>
      <c r="L103" s="2"/>
      <c r="O103" s="2" t="str">
        <f t="shared" si="2"/>
        <v/>
      </c>
    </row>
    <row r="104" ht="15.75" customHeight="1">
      <c r="A104" s="2" t="str">
        <f t="shared" si="1"/>
        <v/>
      </c>
      <c r="F104" s="5"/>
      <c r="H104" s="2"/>
      <c r="L104" s="2"/>
      <c r="O104" s="2" t="str">
        <f t="shared" si="2"/>
        <v/>
      </c>
    </row>
    <row r="105" ht="15.75" customHeight="1">
      <c r="A105" s="2" t="str">
        <f t="shared" si="1"/>
        <v/>
      </c>
      <c r="F105" s="5"/>
      <c r="H105" s="2"/>
      <c r="L105" s="2"/>
      <c r="O105" s="2" t="str">
        <f t="shared" si="2"/>
        <v/>
      </c>
    </row>
    <row r="106" ht="15.75" customHeight="1">
      <c r="A106" s="2" t="str">
        <f t="shared" si="1"/>
        <v/>
      </c>
      <c r="F106" s="5"/>
      <c r="H106" s="2"/>
      <c r="L106" s="2"/>
      <c r="O106" s="2" t="str">
        <f t="shared" si="2"/>
        <v/>
      </c>
    </row>
    <row r="107" ht="15.75" customHeight="1">
      <c r="A107" s="2" t="str">
        <f t="shared" si="1"/>
        <v/>
      </c>
      <c r="F107" s="5"/>
      <c r="H107" s="2"/>
      <c r="L107" s="2"/>
      <c r="O107" s="2" t="str">
        <f t="shared" si="2"/>
        <v/>
      </c>
    </row>
    <row r="108" ht="15.75" customHeight="1">
      <c r="A108" s="2" t="str">
        <f t="shared" si="1"/>
        <v/>
      </c>
      <c r="F108" s="5"/>
      <c r="H108" s="2"/>
      <c r="L108" s="2"/>
      <c r="O108" s="2" t="str">
        <f t="shared" si="2"/>
        <v/>
      </c>
    </row>
    <row r="109" ht="15.75" customHeight="1">
      <c r="A109" s="2" t="str">
        <f t="shared" si="1"/>
        <v/>
      </c>
      <c r="F109" s="5"/>
      <c r="H109" s="2"/>
      <c r="L109" s="2"/>
      <c r="O109" s="2" t="str">
        <f t="shared" si="2"/>
        <v/>
      </c>
    </row>
    <row r="110" ht="15.75" customHeight="1">
      <c r="A110" s="2" t="str">
        <f t="shared" si="1"/>
        <v/>
      </c>
      <c r="F110" s="5"/>
      <c r="H110" s="2"/>
      <c r="L110" s="2"/>
      <c r="O110" s="2" t="str">
        <f t="shared" si="2"/>
        <v/>
      </c>
    </row>
    <row r="111" ht="15.75" customHeight="1">
      <c r="A111" s="2" t="str">
        <f t="shared" si="1"/>
        <v/>
      </c>
      <c r="F111" s="5"/>
      <c r="H111" s="2"/>
      <c r="L111" s="2"/>
      <c r="O111" s="2" t="str">
        <f t="shared" si="2"/>
        <v/>
      </c>
    </row>
    <row r="112" ht="15.75" customHeight="1">
      <c r="A112" s="2" t="str">
        <f t="shared" si="1"/>
        <v/>
      </c>
      <c r="F112" s="5"/>
      <c r="H112" s="2"/>
      <c r="L112" s="2"/>
      <c r="O112" s="2" t="str">
        <f t="shared" si="2"/>
        <v/>
      </c>
    </row>
    <row r="113" ht="15.75" customHeight="1">
      <c r="A113" s="2" t="str">
        <f t="shared" si="1"/>
        <v/>
      </c>
      <c r="F113" s="5"/>
      <c r="H113" s="2"/>
      <c r="L113" s="2"/>
      <c r="O113" s="2" t="str">
        <f t="shared" si="2"/>
        <v/>
      </c>
    </row>
    <row r="114" ht="15.75" customHeight="1">
      <c r="A114" s="2" t="str">
        <f t="shared" si="1"/>
        <v/>
      </c>
      <c r="F114" s="5"/>
      <c r="H114" s="2"/>
      <c r="L114" s="2"/>
      <c r="O114" s="2" t="str">
        <f t="shared" si="2"/>
        <v/>
      </c>
    </row>
    <row r="115" ht="15.75" customHeight="1">
      <c r="A115" s="2" t="str">
        <f t="shared" si="1"/>
        <v/>
      </c>
      <c r="F115" s="5"/>
      <c r="H115" s="2"/>
      <c r="L115" s="2"/>
      <c r="O115" s="2" t="str">
        <f t="shared" si="2"/>
        <v/>
      </c>
    </row>
    <row r="116" ht="15.75" customHeight="1">
      <c r="A116" s="2" t="str">
        <f t="shared" si="1"/>
        <v/>
      </c>
      <c r="F116" s="5"/>
      <c r="H116" s="2"/>
      <c r="L116" s="2"/>
      <c r="O116" s="2" t="str">
        <f t="shared" si="2"/>
        <v/>
      </c>
    </row>
    <row r="117" ht="15.75" customHeight="1">
      <c r="A117" s="2" t="str">
        <f t="shared" si="1"/>
        <v/>
      </c>
      <c r="F117" s="5"/>
      <c r="H117" s="2"/>
      <c r="L117" s="2"/>
      <c r="O117" s="2" t="str">
        <f t="shared" si="2"/>
        <v/>
      </c>
    </row>
    <row r="118" ht="15.75" customHeight="1">
      <c r="A118" s="2" t="str">
        <f t="shared" si="1"/>
        <v/>
      </c>
      <c r="F118" s="5"/>
      <c r="H118" s="2"/>
      <c r="L118" s="2"/>
      <c r="O118" s="2" t="str">
        <f t="shared" si="2"/>
        <v/>
      </c>
    </row>
    <row r="119" ht="15.75" customHeight="1">
      <c r="A119" s="2" t="str">
        <f t="shared" si="1"/>
        <v/>
      </c>
      <c r="F119" s="5"/>
      <c r="H119" s="2"/>
      <c r="L119" s="2"/>
      <c r="O119" s="2" t="str">
        <f t="shared" si="2"/>
        <v/>
      </c>
    </row>
    <row r="120" ht="15.75" customHeight="1">
      <c r="A120" s="2" t="str">
        <f t="shared" si="1"/>
        <v/>
      </c>
      <c r="F120" s="5"/>
      <c r="H120" s="2"/>
      <c r="L120" s="2"/>
      <c r="O120" s="2" t="str">
        <f t="shared" si="2"/>
        <v/>
      </c>
    </row>
    <row r="121" ht="15.75" customHeight="1">
      <c r="A121" s="2" t="str">
        <f t="shared" si="1"/>
        <v/>
      </c>
      <c r="F121" s="5"/>
      <c r="H121" s="2"/>
      <c r="L121" s="2"/>
      <c r="O121" s="2" t="str">
        <f t="shared" si="2"/>
        <v/>
      </c>
    </row>
    <row r="122" ht="15.75" customHeight="1">
      <c r="A122" s="2" t="str">
        <f t="shared" si="1"/>
        <v/>
      </c>
      <c r="F122" s="5"/>
      <c r="H122" s="2"/>
      <c r="L122" s="2"/>
      <c r="O122" s="2" t="str">
        <f t="shared" si="2"/>
        <v/>
      </c>
    </row>
    <row r="123" ht="15.75" customHeight="1">
      <c r="A123" s="2" t="str">
        <f t="shared" si="1"/>
        <v/>
      </c>
      <c r="F123" s="5"/>
      <c r="H123" s="2"/>
      <c r="L123" s="2"/>
      <c r="O123" s="2" t="str">
        <f t="shared" si="2"/>
        <v/>
      </c>
    </row>
    <row r="124" ht="15.75" customHeight="1">
      <c r="A124" s="2" t="str">
        <f t="shared" si="1"/>
        <v/>
      </c>
      <c r="F124" s="5"/>
      <c r="H124" s="2"/>
      <c r="L124" s="2"/>
      <c r="O124" s="2" t="str">
        <f t="shared" si="2"/>
        <v/>
      </c>
    </row>
    <row r="125" ht="15.75" customHeight="1">
      <c r="A125" s="2" t="str">
        <f t="shared" si="1"/>
        <v/>
      </c>
      <c r="F125" s="5"/>
      <c r="H125" s="2"/>
      <c r="L125" s="2"/>
      <c r="O125" s="2" t="str">
        <f t="shared" si="2"/>
        <v/>
      </c>
    </row>
    <row r="126" ht="15.75" customHeight="1">
      <c r="A126" s="2" t="str">
        <f t="shared" si="1"/>
        <v/>
      </c>
      <c r="F126" s="5"/>
      <c r="H126" s="2"/>
      <c r="L126" s="2"/>
      <c r="O126" s="2" t="str">
        <f t="shared" si="2"/>
        <v/>
      </c>
    </row>
    <row r="127" ht="15.75" customHeight="1">
      <c r="A127" s="2" t="str">
        <f t="shared" si="1"/>
        <v/>
      </c>
      <c r="F127" s="5"/>
      <c r="H127" s="2"/>
      <c r="L127" s="2"/>
      <c r="O127" s="2" t="str">
        <f t="shared" si="2"/>
        <v/>
      </c>
    </row>
    <row r="128" ht="15.75" customHeight="1">
      <c r="A128" s="2" t="str">
        <f t="shared" si="1"/>
        <v/>
      </c>
      <c r="F128" s="5"/>
      <c r="H128" s="2"/>
      <c r="L128" s="2"/>
      <c r="O128" s="2" t="str">
        <f t="shared" si="2"/>
        <v/>
      </c>
    </row>
    <row r="129" ht="15.75" customHeight="1">
      <c r="A129" s="2" t="str">
        <f t="shared" si="1"/>
        <v/>
      </c>
      <c r="F129" s="5"/>
      <c r="H129" s="2"/>
      <c r="L129" s="2"/>
      <c r="O129" s="2" t="str">
        <f t="shared" si="2"/>
        <v/>
      </c>
    </row>
    <row r="130" ht="15.75" customHeight="1">
      <c r="A130" s="2" t="str">
        <f t="shared" si="1"/>
        <v/>
      </c>
      <c r="F130" s="5"/>
      <c r="H130" s="2"/>
      <c r="L130" s="2"/>
      <c r="O130" s="2" t="str">
        <f t="shared" si="2"/>
        <v/>
      </c>
    </row>
    <row r="131" ht="15.75" customHeight="1">
      <c r="A131" s="2" t="str">
        <f t="shared" si="1"/>
        <v/>
      </c>
      <c r="F131" s="5"/>
      <c r="H131" s="2"/>
      <c r="L131" s="2"/>
      <c r="O131" s="2" t="str">
        <f t="shared" si="2"/>
        <v/>
      </c>
    </row>
    <row r="132" ht="15.75" customHeight="1">
      <c r="A132" s="2" t="str">
        <f t="shared" si="1"/>
        <v/>
      </c>
      <c r="F132" s="5"/>
      <c r="H132" s="2"/>
      <c r="L132" s="2"/>
      <c r="O132" s="2" t="str">
        <f t="shared" si="2"/>
        <v/>
      </c>
    </row>
    <row r="133" ht="15.75" customHeight="1">
      <c r="A133" s="2" t="str">
        <f t="shared" si="1"/>
        <v/>
      </c>
      <c r="F133" s="5"/>
      <c r="H133" s="2"/>
      <c r="L133" s="2"/>
      <c r="O133" s="2" t="str">
        <f t="shared" si="2"/>
        <v/>
      </c>
    </row>
    <row r="134" ht="15.75" customHeight="1">
      <c r="A134" s="2" t="str">
        <f t="shared" si="1"/>
        <v/>
      </c>
      <c r="F134" s="5"/>
      <c r="H134" s="2"/>
      <c r="L134" s="2"/>
      <c r="O134" s="2" t="str">
        <f t="shared" si="2"/>
        <v/>
      </c>
    </row>
    <row r="135" ht="15.75" customHeight="1">
      <c r="A135" s="2" t="str">
        <f t="shared" si="1"/>
        <v/>
      </c>
      <c r="F135" s="5"/>
      <c r="H135" s="2"/>
      <c r="L135" s="2"/>
      <c r="O135" s="2" t="str">
        <f t="shared" si="2"/>
        <v/>
      </c>
    </row>
    <row r="136" ht="15.75" customHeight="1">
      <c r="A136" s="2" t="str">
        <f t="shared" si="1"/>
        <v/>
      </c>
      <c r="F136" s="5"/>
      <c r="H136" s="2"/>
      <c r="L136" s="2"/>
      <c r="O136" s="2" t="str">
        <f t="shared" si="2"/>
        <v/>
      </c>
    </row>
    <row r="137" ht="15.75" customHeight="1">
      <c r="A137" s="2" t="str">
        <f t="shared" si="1"/>
        <v/>
      </c>
      <c r="F137" s="5"/>
      <c r="H137" s="2"/>
      <c r="L137" s="2"/>
      <c r="O137" s="2" t="str">
        <f t="shared" si="2"/>
        <v/>
      </c>
    </row>
    <row r="138" ht="15.75" customHeight="1">
      <c r="A138" s="2" t="str">
        <f t="shared" si="1"/>
        <v/>
      </c>
      <c r="F138" s="5"/>
      <c r="H138" s="2"/>
      <c r="L138" s="2"/>
      <c r="O138" s="2" t="str">
        <f t="shared" si="2"/>
        <v/>
      </c>
    </row>
    <row r="139" ht="15.75" customHeight="1">
      <c r="A139" s="2" t="str">
        <f t="shared" si="1"/>
        <v/>
      </c>
      <c r="F139" s="5"/>
      <c r="H139" s="2"/>
      <c r="L139" s="2"/>
      <c r="O139" s="2" t="str">
        <f t="shared" si="2"/>
        <v/>
      </c>
    </row>
    <row r="140" ht="15.75" customHeight="1">
      <c r="A140" s="2" t="str">
        <f t="shared" si="1"/>
        <v/>
      </c>
      <c r="F140" s="5"/>
      <c r="H140" s="2"/>
      <c r="L140" s="2"/>
      <c r="O140" s="2" t="str">
        <f t="shared" si="2"/>
        <v/>
      </c>
    </row>
    <row r="141" ht="15.75" customHeight="1">
      <c r="A141" s="2" t="str">
        <f t="shared" si="1"/>
        <v/>
      </c>
      <c r="F141" s="5"/>
      <c r="H141" s="2"/>
      <c r="L141" s="2"/>
      <c r="O141" s="2" t="str">
        <f t="shared" si="2"/>
        <v/>
      </c>
    </row>
    <row r="142" ht="15.75" customHeight="1">
      <c r="A142" s="2" t="str">
        <f t="shared" si="1"/>
        <v/>
      </c>
      <c r="F142" s="5"/>
      <c r="H142" s="2"/>
      <c r="L142" s="2"/>
      <c r="O142" s="2" t="str">
        <f t="shared" si="2"/>
        <v/>
      </c>
    </row>
    <row r="143" ht="15.75" customHeight="1">
      <c r="A143" s="2" t="str">
        <f t="shared" si="1"/>
        <v/>
      </c>
      <c r="F143" s="5"/>
      <c r="H143" s="2"/>
      <c r="L143" s="2"/>
      <c r="O143" s="2" t="str">
        <f t="shared" si="2"/>
        <v/>
      </c>
    </row>
    <row r="144" ht="15.75" customHeight="1">
      <c r="A144" s="2" t="str">
        <f t="shared" si="1"/>
        <v/>
      </c>
      <c r="F144" s="5"/>
      <c r="H144" s="2"/>
      <c r="L144" s="2"/>
      <c r="O144" s="2" t="str">
        <f t="shared" si="2"/>
        <v/>
      </c>
    </row>
    <row r="145" ht="15.75" customHeight="1">
      <c r="A145" s="2" t="str">
        <f t="shared" si="1"/>
        <v/>
      </c>
      <c r="F145" s="5"/>
      <c r="H145" s="2"/>
      <c r="L145" s="2"/>
      <c r="O145" s="2" t="str">
        <f t="shared" si="2"/>
        <v/>
      </c>
    </row>
    <row r="146" ht="15.75" customHeight="1">
      <c r="A146" s="2" t="str">
        <f t="shared" si="1"/>
        <v/>
      </c>
      <c r="F146" s="5"/>
      <c r="H146" s="2"/>
      <c r="L146" s="2"/>
      <c r="O146" s="2" t="str">
        <f t="shared" si="2"/>
        <v/>
      </c>
    </row>
    <row r="147" ht="15.75" customHeight="1">
      <c r="A147" s="2" t="str">
        <f t="shared" si="1"/>
        <v/>
      </c>
      <c r="F147" s="5"/>
      <c r="H147" s="2"/>
      <c r="L147" s="2"/>
      <c r="O147" s="2" t="str">
        <f t="shared" si="2"/>
        <v/>
      </c>
    </row>
    <row r="148" ht="15.75" customHeight="1">
      <c r="A148" s="2" t="str">
        <f t="shared" si="1"/>
        <v/>
      </c>
      <c r="F148" s="5"/>
      <c r="H148" s="2"/>
      <c r="L148" s="2"/>
      <c r="O148" s="2" t="str">
        <f t="shared" si="2"/>
        <v/>
      </c>
    </row>
    <row r="149" ht="15.75" customHeight="1">
      <c r="A149" s="2" t="str">
        <f t="shared" si="1"/>
        <v/>
      </c>
      <c r="F149" s="5"/>
      <c r="H149" s="2"/>
      <c r="L149" s="2"/>
      <c r="O149" s="2" t="str">
        <f t="shared" si="2"/>
        <v/>
      </c>
    </row>
    <row r="150" ht="15.75" customHeight="1">
      <c r="A150" s="2" t="str">
        <f t="shared" si="1"/>
        <v/>
      </c>
      <c r="F150" s="5"/>
      <c r="H150" s="2"/>
      <c r="L150" s="2"/>
      <c r="O150" s="2" t="str">
        <f t="shared" si="2"/>
        <v/>
      </c>
    </row>
    <row r="151" ht="15.75" customHeight="1">
      <c r="A151" s="2" t="str">
        <f t="shared" si="1"/>
        <v/>
      </c>
      <c r="F151" s="5"/>
      <c r="H151" s="2"/>
      <c r="L151" s="2"/>
      <c r="O151" s="2" t="str">
        <f t="shared" si="2"/>
        <v/>
      </c>
    </row>
    <row r="152" ht="15.75" customHeight="1">
      <c r="A152" s="2" t="str">
        <f t="shared" si="1"/>
        <v/>
      </c>
      <c r="F152" s="5"/>
      <c r="H152" s="2"/>
      <c r="L152" s="2"/>
      <c r="O152" s="2" t="str">
        <f t="shared" si="2"/>
        <v/>
      </c>
    </row>
    <row r="153" ht="15.75" customHeight="1">
      <c r="A153" s="2" t="str">
        <f t="shared" si="1"/>
        <v/>
      </c>
      <c r="F153" s="5"/>
      <c r="H153" s="2"/>
      <c r="L153" s="2"/>
      <c r="O153" s="2" t="str">
        <f t="shared" si="2"/>
        <v/>
      </c>
    </row>
    <row r="154" ht="15.75" customHeight="1">
      <c r="A154" s="2" t="str">
        <f t="shared" si="1"/>
        <v/>
      </c>
      <c r="F154" s="5"/>
      <c r="H154" s="2"/>
      <c r="L154" s="2"/>
      <c r="O154" s="2" t="str">
        <f t="shared" si="2"/>
        <v/>
      </c>
    </row>
    <row r="155" ht="15.75" customHeight="1">
      <c r="A155" s="2" t="str">
        <f t="shared" si="1"/>
        <v/>
      </c>
      <c r="F155" s="5"/>
      <c r="H155" s="2"/>
      <c r="L155" s="2"/>
      <c r="O155" s="2" t="str">
        <f t="shared" si="2"/>
        <v/>
      </c>
    </row>
    <row r="156" ht="15.75" customHeight="1">
      <c r="A156" s="2" t="str">
        <f t="shared" si="1"/>
        <v/>
      </c>
      <c r="F156" s="5"/>
      <c r="H156" s="2"/>
      <c r="L156" s="2"/>
      <c r="O156" s="2" t="str">
        <f t="shared" si="2"/>
        <v/>
      </c>
    </row>
    <row r="157" ht="15.75" customHeight="1">
      <c r="A157" s="2" t="str">
        <f t="shared" si="1"/>
        <v/>
      </c>
      <c r="F157" s="5"/>
      <c r="H157" s="2"/>
      <c r="L157" s="2"/>
      <c r="O157" s="2" t="str">
        <f t="shared" si="2"/>
        <v/>
      </c>
    </row>
    <row r="158" ht="15.75" customHeight="1">
      <c r="A158" s="2" t="str">
        <f t="shared" si="1"/>
        <v/>
      </c>
      <c r="F158" s="5"/>
      <c r="H158" s="2"/>
      <c r="L158" s="2"/>
      <c r="O158" s="2" t="str">
        <f t="shared" si="2"/>
        <v/>
      </c>
    </row>
    <row r="159" ht="15.75" customHeight="1">
      <c r="A159" s="2" t="str">
        <f t="shared" si="1"/>
        <v/>
      </c>
      <c r="F159" s="5"/>
      <c r="H159" s="2"/>
      <c r="L159" s="2"/>
      <c r="O159" s="2" t="str">
        <f t="shared" si="2"/>
        <v/>
      </c>
    </row>
    <row r="160" ht="15.75" customHeight="1">
      <c r="A160" s="2" t="str">
        <f t="shared" si="1"/>
        <v/>
      </c>
      <c r="F160" s="5"/>
      <c r="H160" s="2"/>
      <c r="L160" s="2"/>
      <c r="O160" s="2" t="str">
        <f t="shared" si="2"/>
        <v/>
      </c>
    </row>
    <row r="161" ht="15.75" customHeight="1">
      <c r="A161" s="2" t="str">
        <f t="shared" si="1"/>
        <v/>
      </c>
      <c r="F161" s="5"/>
      <c r="H161" s="2"/>
      <c r="L161" s="2"/>
      <c r="O161" s="2" t="str">
        <f t="shared" si="2"/>
        <v/>
      </c>
    </row>
    <row r="162" ht="15.75" customHeight="1">
      <c r="A162" s="2" t="str">
        <f t="shared" si="1"/>
        <v/>
      </c>
      <c r="F162" s="5"/>
      <c r="H162" s="2"/>
      <c r="L162" s="2"/>
      <c r="O162" s="2" t="str">
        <f t="shared" si="2"/>
        <v/>
      </c>
    </row>
    <row r="163" ht="15.75" customHeight="1">
      <c r="A163" s="2" t="str">
        <f t="shared" si="1"/>
        <v/>
      </c>
      <c r="F163" s="5"/>
      <c r="H163" s="2"/>
      <c r="L163" s="2"/>
      <c r="O163" s="2" t="str">
        <f t="shared" si="2"/>
        <v/>
      </c>
    </row>
    <row r="164" ht="15.75" customHeight="1">
      <c r="A164" s="2" t="str">
        <f t="shared" si="1"/>
        <v/>
      </c>
      <c r="F164" s="5"/>
      <c r="H164" s="2"/>
      <c r="L164" s="2"/>
      <c r="O164" s="2" t="str">
        <f t="shared" si="2"/>
        <v/>
      </c>
    </row>
    <row r="165" ht="15.75" customHeight="1">
      <c r="A165" s="2" t="str">
        <f t="shared" si="1"/>
        <v/>
      </c>
      <c r="F165" s="5"/>
      <c r="H165" s="2"/>
      <c r="L165" s="2"/>
      <c r="O165" s="2" t="str">
        <f t="shared" si="2"/>
        <v/>
      </c>
    </row>
    <row r="166" ht="15.75" customHeight="1">
      <c r="A166" s="2" t="str">
        <f t="shared" si="1"/>
        <v/>
      </c>
      <c r="F166" s="5"/>
      <c r="H166" s="2"/>
      <c r="L166" s="2"/>
      <c r="O166" s="2" t="str">
        <f t="shared" si="2"/>
        <v/>
      </c>
    </row>
    <row r="167" ht="15.75" customHeight="1">
      <c r="A167" s="2" t="str">
        <f t="shared" si="1"/>
        <v/>
      </c>
      <c r="F167" s="5"/>
      <c r="H167" s="2"/>
      <c r="L167" s="2"/>
      <c r="O167" s="2" t="str">
        <f t="shared" si="2"/>
        <v/>
      </c>
    </row>
    <row r="168" ht="15.75" customHeight="1">
      <c r="A168" s="2" t="str">
        <f t="shared" si="1"/>
        <v/>
      </c>
      <c r="F168" s="5"/>
      <c r="H168" s="2"/>
      <c r="L168" s="2"/>
      <c r="O168" s="2" t="str">
        <f t="shared" si="2"/>
        <v/>
      </c>
    </row>
    <row r="169" ht="15.75" customHeight="1">
      <c r="A169" s="2" t="str">
        <f t="shared" si="1"/>
        <v/>
      </c>
      <c r="F169" s="5"/>
      <c r="H169" s="2"/>
      <c r="L169" s="2"/>
      <c r="O169" s="2" t="str">
        <f t="shared" si="2"/>
        <v/>
      </c>
    </row>
    <row r="170" ht="15.75" customHeight="1">
      <c r="A170" s="2" t="str">
        <f t="shared" si="1"/>
        <v/>
      </c>
      <c r="F170" s="5"/>
      <c r="H170" s="2"/>
      <c r="L170" s="2"/>
      <c r="O170" s="2" t="str">
        <f t="shared" si="2"/>
        <v/>
      </c>
    </row>
    <row r="171" ht="15.75" customHeight="1">
      <c r="A171" s="2" t="str">
        <f t="shared" si="1"/>
        <v/>
      </c>
      <c r="F171" s="5"/>
      <c r="H171" s="2"/>
      <c r="L171" s="2"/>
      <c r="O171" s="2" t="str">
        <f t="shared" si="2"/>
        <v/>
      </c>
    </row>
    <row r="172" ht="15.75" customHeight="1">
      <c r="A172" s="2" t="str">
        <f t="shared" si="1"/>
        <v/>
      </c>
      <c r="F172" s="5"/>
      <c r="H172" s="2"/>
      <c r="L172" s="2"/>
      <c r="O172" s="2" t="str">
        <f t="shared" si="2"/>
        <v/>
      </c>
    </row>
    <row r="173" ht="15.75" customHeight="1">
      <c r="A173" s="2" t="str">
        <f t="shared" si="1"/>
        <v/>
      </c>
      <c r="F173" s="5"/>
      <c r="H173" s="2"/>
      <c r="L173" s="2"/>
      <c r="O173" s="2" t="str">
        <f t="shared" si="2"/>
        <v/>
      </c>
    </row>
    <row r="174" ht="15.75" customHeight="1">
      <c r="A174" s="2" t="str">
        <f t="shared" si="1"/>
        <v/>
      </c>
      <c r="F174" s="5"/>
      <c r="H174" s="2"/>
      <c r="L174" s="2"/>
      <c r="O174" s="2" t="str">
        <f t="shared" si="2"/>
        <v/>
      </c>
    </row>
    <row r="175" ht="15.75" customHeight="1">
      <c r="A175" s="2" t="str">
        <f t="shared" si="1"/>
        <v/>
      </c>
      <c r="F175" s="5"/>
      <c r="H175" s="2"/>
      <c r="L175" s="2"/>
      <c r="O175" s="2" t="str">
        <f t="shared" si="2"/>
        <v/>
      </c>
    </row>
    <row r="176" ht="15.75" customHeight="1">
      <c r="A176" s="2" t="str">
        <f t="shared" si="1"/>
        <v/>
      </c>
      <c r="F176" s="5"/>
      <c r="H176" s="2"/>
      <c r="L176" s="2"/>
      <c r="O176" s="2" t="str">
        <f t="shared" si="2"/>
        <v/>
      </c>
    </row>
    <row r="177" ht="15.75" customHeight="1">
      <c r="A177" s="2" t="str">
        <f t="shared" si="1"/>
        <v/>
      </c>
      <c r="F177" s="5"/>
      <c r="H177" s="2"/>
      <c r="L177" s="2"/>
      <c r="O177" s="2" t="str">
        <f t="shared" si="2"/>
        <v/>
      </c>
    </row>
    <row r="178" ht="15.75" customHeight="1">
      <c r="A178" s="2" t="str">
        <f t="shared" si="1"/>
        <v/>
      </c>
      <c r="F178" s="5"/>
      <c r="H178" s="2"/>
      <c r="L178" s="2"/>
      <c r="O178" s="2" t="str">
        <f t="shared" si="2"/>
        <v/>
      </c>
    </row>
    <row r="179" ht="15.75" customHeight="1">
      <c r="A179" s="2" t="str">
        <f t="shared" si="1"/>
        <v/>
      </c>
      <c r="F179" s="5"/>
      <c r="H179" s="2"/>
      <c r="L179" s="2"/>
      <c r="O179" s="2" t="str">
        <f t="shared" si="2"/>
        <v/>
      </c>
    </row>
    <row r="180" ht="15.75" customHeight="1">
      <c r="A180" s="2" t="str">
        <f t="shared" si="1"/>
        <v/>
      </c>
      <c r="F180" s="5"/>
      <c r="H180" s="2"/>
      <c r="L180" s="2"/>
      <c r="O180" s="2" t="str">
        <f t="shared" si="2"/>
        <v/>
      </c>
    </row>
    <row r="181" ht="15.75" customHeight="1">
      <c r="A181" s="2" t="str">
        <f t="shared" si="1"/>
        <v/>
      </c>
      <c r="F181" s="5"/>
      <c r="H181" s="2"/>
      <c r="L181" s="2"/>
      <c r="O181" s="2" t="str">
        <f t="shared" si="2"/>
        <v/>
      </c>
    </row>
    <row r="182" ht="15.75" customHeight="1">
      <c r="A182" s="2" t="str">
        <f t="shared" si="1"/>
        <v/>
      </c>
      <c r="F182" s="5"/>
      <c r="H182" s="2"/>
      <c r="L182" s="2"/>
      <c r="O182" s="2" t="str">
        <f t="shared" si="2"/>
        <v/>
      </c>
    </row>
    <row r="183" ht="15.75" customHeight="1">
      <c r="A183" s="2" t="str">
        <f t="shared" si="1"/>
        <v/>
      </c>
      <c r="F183" s="5"/>
      <c r="H183" s="2"/>
      <c r="L183" s="2"/>
      <c r="O183" s="2" t="str">
        <f t="shared" si="2"/>
        <v/>
      </c>
    </row>
    <row r="184" ht="15.75" customHeight="1">
      <c r="A184" s="2" t="str">
        <f t="shared" si="1"/>
        <v/>
      </c>
      <c r="F184" s="5"/>
      <c r="H184" s="2"/>
      <c r="L184" s="2"/>
      <c r="O184" s="2" t="str">
        <f t="shared" si="2"/>
        <v/>
      </c>
    </row>
    <row r="185" ht="15.75" customHeight="1">
      <c r="A185" s="2" t="str">
        <f t="shared" si="1"/>
        <v/>
      </c>
      <c r="F185" s="5"/>
      <c r="H185" s="2"/>
      <c r="L185" s="2"/>
      <c r="O185" s="2" t="str">
        <f t="shared" si="2"/>
        <v/>
      </c>
    </row>
    <row r="186" ht="15.75" customHeight="1">
      <c r="A186" s="2" t="str">
        <f t="shared" si="1"/>
        <v/>
      </c>
      <c r="F186" s="5"/>
      <c r="H186" s="2"/>
      <c r="L186" s="2"/>
      <c r="O186" s="2" t="str">
        <f t="shared" si="2"/>
        <v/>
      </c>
    </row>
    <row r="187" ht="15.75" customHeight="1">
      <c r="A187" s="2" t="str">
        <f t="shared" si="1"/>
        <v/>
      </c>
      <c r="F187" s="5"/>
      <c r="H187" s="2"/>
      <c r="L187" s="2"/>
      <c r="O187" s="2" t="str">
        <f t="shared" si="2"/>
        <v/>
      </c>
    </row>
    <row r="188" ht="15.75" customHeight="1">
      <c r="A188" s="2" t="str">
        <f t="shared" si="1"/>
        <v/>
      </c>
      <c r="F188" s="5"/>
      <c r="H188" s="2"/>
      <c r="L188" s="2"/>
      <c r="O188" s="2" t="str">
        <f t="shared" si="2"/>
        <v/>
      </c>
    </row>
    <row r="189" ht="15.75" customHeight="1">
      <c r="A189" s="2" t="str">
        <f t="shared" si="1"/>
        <v/>
      </c>
      <c r="F189" s="5"/>
      <c r="H189" s="2"/>
      <c r="L189" s="2"/>
      <c r="O189" s="2" t="str">
        <f t="shared" si="2"/>
        <v/>
      </c>
    </row>
    <row r="190" ht="15.75" customHeight="1">
      <c r="A190" s="2" t="str">
        <f t="shared" si="1"/>
        <v/>
      </c>
      <c r="F190" s="5"/>
      <c r="H190" s="2"/>
      <c r="L190" s="2"/>
      <c r="O190" s="2" t="str">
        <f t="shared" si="2"/>
        <v/>
      </c>
    </row>
    <row r="191" ht="15.75" customHeight="1">
      <c r="A191" s="2" t="str">
        <f t="shared" si="1"/>
        <v/>
      </c>
      <c r="F191" s="5"/>
      <c r="H191" s="2"/>
      <c r="L191" s="2"/>
      <c r="O191" s="2" t="str">
        <f t="shared" si="2"/>
        <v/>
      </c>
    </row>
    <row r="192" ht="15.75" customHeight="1">
      <c r="A192" s="2" t="str">
        <f t="shared" si="1"/>
        <v/>
      </c>
      <c r="F192" s="5"/>
      <c r="H192" s="2"/>
      <c r="L192" s="2"/>
      <c r="O192" s="2" t="str">
        <f t="shared" si="2"/>
        <v/>
      </c>
    </row>
    <row r="193" ht="15.75" customHeight="1">
      <c r="A193" s="2" t="str">
        <f t="shared" si="1"/>
        <v/>
      </c>
      <c r="F193" s="5"/>
      <c r="H193" s="2"/>
      <c r="L193" s="2"/>
      <c r="O193" s="2" t="str">
        <f t="shared" si="2"/>
        <v/>
      </c>
    </row>
    <row r="194" ht="15.75" customHeight="1">
      <c r="A194" s="2" t="str">
        <f t="shared" si="1"/>
        <v/>
      </c>
      <c r="F194" s="5"/>
      <c r="H194" s="2"/>
      <c r="L194" s="2"/>
      <c r="O194" s="2" t="str">
        <f t="shared" si="2"/>
        <v/>
      </c>
    </row>
    <row r="195" ht="15.75" customHeight="1">
      <c r="A195" s="2" t="str">
        <f t="shared" si="1"/>
        <v/>
      </c>
      <c r="F195" s="5"/>
      <c r="H195" s="2"/>
      <c r="L195" s="2"/>
      <c r="O195" s="2" t="str">
        <f t="shared" si="2"/>
        <v/>
      </c>
    </row>
    <row r="196" ht="15.75" customHeight="1">
      <c r="A196" s="2" t="str">
        <f t="shared" si="1"/>
        <v/>
      </c>
      <c r="F196" s="5"/>
      <c r="H196" s="2"/>
      <c r="L196" s="2"/>
      <c r="O196" s="2" t="str">
        <f t="shared" si="2"/>
        <v/>
      </c>
    </row>
    <row r="197" ht="15.75" customHeight="1">
      <c r="A197" s="2" t="str">
        <f t="shared" si="1"/>
        <v/>
      </c>
      <c r="F197" s="5"/>
      <c r="H197" s="2"/>
      <c r="L197" s="2"/>
      <c r="O197" s="2" t="str">
        <f t="shared" si="2"/>
        <v/>
      </c>
    </row>
    <row r="198" ht="15.75" customHeight="1">
      <c r="A198" s="2" t="str">
        <f t="shared" si="1"/>
        <v/>
      </c>
      <c r="F198" s="5"/>
      <c r="H198" s="2"/>
      <c r="L198" s="2"/>
      <c r="O198" s="2" t="str">
        <f t="shared" si="2"/>
        <v/>
      </c>
    </row>
    <row r="199" ht="15.75" customHeight="1">
      <c r="F199" s="5"/>
      <c r="H199" s="2"/>
    </row>
    <row r="200" ht="15.75" customHeight="1">
      <c r="F200" s="5"/>
      <c r="H200" s="2"/>
    </row>
    <row r="201" ht="15.75" customHeight="1">
      <c r="F201" s="5"/>
      <c r="H201" s="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H1000">
    <cfRule type="notContainsBlanks" dxfId="0" priority="1">
      <formula>LEN(TRIM(H1))&gt;0</formula>
    </cfRule>
  </conditionalFormatting>
  <dataValidations>
    <dataValidation type="list" allowBlank="1" showErrorMessage="1" sqref="H2:H201">
      <formula1>"Gas Leakage,System Underperformance,Delayed Commissisioning,Installation Delay,Pipe Damage/Disconnection,Buner/ Knob Fault,System Damage(Tear/Burst),Blockage Inlet/Oulet,Delayed Accessories Request,Relocation Request,Diconnected Oulet,Others"</formula1>
    </dataValidation>
    <dataValidation type="list" allowBlank="1" sqref="L2:L198">
      <formula1>"Open,In Progress,Waiting for Customer,Resolved,Closed"</formula1>
    </dataValidation>
    <dataValidation type="list" allowBlank="1" showErrorMessage="1" sqref="F2:F201">
      <formula1>"JACKSON NJOROGE,JOHN MUIRURI,NANCY KIMEMIA,DICKSON MWANGI,ALEX KAIRU,ERASTUS IRUNGU,SIMON KANYI"</formula1>
    </dataValidation>
  </dataValidations>
  <printOptions/>
  <pageMargins bottom="1.0" footer="0.0" header="0.0" left="0.75" right="0.75" top="1.0"/>
  <pageSetup orientation="portrait"/>
  <drawing r:id="rId1"/>
</worksheet>
</file>